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C:\Users\Engr Noman Mahmood\Desktop\Phase-1\Conversion Effectiveness Performance Analysis\"/>
    </mc:Choice>
  </mc:AlternateContent>
  <xr:revisionPtr revIDLastSave="0" documentId="13_ncr:1_{7D3648AF-5AC5-4671-B86B-0B9CAC3705E3}" xr6:coauthVersionLast="47" xr6:coauthVersionMax="47" xr10:uidLastSave="{00000000-0000-0000-0000-000000000000}"/>
  <bookViews>
    <workbookView xWindow="-120" yWindow="-120" windowWidth="20730" windowHeight="11160" activeTab="2" xr2:uid="{9461810C-6DB4-4300-846A-E125B0EC71BB}"/>
  </bookViews>
  <sheets>
    <sheet name="Cleaned Data" sheetId="1" r:id="rId1"/>
    <sheet name="Pivot Table" sheetId="2" r:id="rId2"/>
    <sheet name="DashBoard" sheetId="3" r:id="rId3"/>
  </sheets>
  <definedNames>
    <definedName name="Slicer_Campaign">#N/A</definedName>
    <definedName name="Slicer_Devic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2" i="1"/>
  <c r="A19" i="3"/>
  <c r="A18" i="3"/>
  <c r="A16" i="3"/>
  <c r="A17" i="3"/>
</calcChain>
</file>

<file path=xl/sharedStrings.xml><?xml version="1.0" encoding="utf-8"?>
<sst xmlns="http://schemas.openxmlformats.org/spreadsheetml/2006/main" count="1127" uniqueCount="40">
  <si>
    <t>Date</t>
  </si>
  <si>
    <t>Campaign</t>
  </si>
  <si>
    <t>Device</t>
  </si>
  <si>
    <t>Keyword</t>
  </si>
  <si>
    <t>Impressions</t>
  </si>
  <si>
    <t>Clicks</t>
  </si>
  <si>
    <t>Cost</t>
  </si>
  <si>
    <t>Conversions</t>
  </si>
  <si>
    <t>Revenue</t>
  </si>
  <si>
    <t>Google_PMax_Apparel</t>
  </si>
  <si>
    <t>Desktop</t>
  </si>
  <si>
    <t>kids educational toys sale</t>
  </si>
  <si>
    <t>Mobile</t>
  </si>
  <si>
    <t>buy summer dress sale</t>
  </si>
  <si>
    <t>Tablet</t>
  </si>
  <si>
    <t>Facebook_Retargeting_Cart</t>
  </si>
  <si>
    <t>discount leather backpack</t>
  </si>
  <si>
    <t>handmade ceramic mug buy now</t>
  </si>
  <si>
    <t>best wireless earbuds deals</t>
  </si>
  <si>
    <t>High_Intent_Search</t>
  </si>
  <si>
    <t>wireless headphones discount</t>
  </si>
  <si>
    <t>best gaming laptop deals</t>
  </si>
  <si>
    <t>4k smart TV discount</t>
  </si>
  <si>
    <t>Holiday_Promo_Video</t>
  </si>
  <si>
    <t>new year party dress</t>
  </si>
  <si>
    <t>christmas decor sale</t>
  </si>
  <si>
    <t>men leather jacket sale</t>
  </si>
  <si>
    <t>organic coffee pods fast shipping</t>
  </si>
  <si>
    <t>holiday gift ideas under 50</t>
  </si>
  <si>
    <t>winter boots discount</t>
  </si>
  <si>
    <t>CVR</t>
  </si>
  <si>
    <t>CPA</t>
  </si>
  <si>
    <t>ROAS</t>
  </si>
  <si>
    <t>Value Per Conversion</t>
  </si>
  <si>
    <t>Row Labels</t>
  </si>
  <si>
    <t>Grand Total</t>
  </si>
  <si>
    <t>Sum of Conversions</t>
  </si>
  <si>
    <t>Average of CPA</t>
  </si>
  <si>
    <t>Average of CVR</t>
  </si>
  <si>
    <t>Average of ROAS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</si>
</sst>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164" fontId="0" fillId="2" borderId="0" xfId="0" applyNumberFormat="1" applyFill="1"/>
  </cellXfs>
  <cellStyles count="1">
    <cellStyle name="Normal" xfId="0" builtinId="0"/>
  </cellStyles>
  <dxfs count="6">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[Conversion DataSet.xlsx]Pivot Table!Campaign</c:name>
    <c:fmtId val="3"/>
  </c:pivotSource>
  <c:chart>
    <c:title>
      <c:tx>
        <c:rich>
          <a:bodyPr rot="0" spcFirstLastPara="1" vertOverflow="ellipsis" vert="horz" wrap="square" anchor="ctr" anchorCtr="1"/>
          <a:lstStyle/>
          <a:p>
            <a:pPr algn="ctr">
              <a:defRPr lang="en-US" sz="1000" b="0" i="0" u="none" strike="noStrike" kern="1200" spc="0" baseline="0">
                <a:solidFill>
                  <a:schemeClr val="tx2">
                    <a:lumMod val="60000"/>
                    <a:lumOff val="40000"/>
                  </a:schemeClr>
                </a:solidFill>
                <a:latin typeface="+mn-lt"/>
                <a:ea typeface="+mn-ea"/>
                <a:cs typeface="+mn-cs"/>
              </a:defRPr>
            </a:pPr>
            <a:r>
              <a:rPr lang="en-US" sz="1000" b="0" i="0" u="none" strike="noStrike" kern="1200" baseline="0">
                <a:solidFill>
                  <a:schemeClr val="tx2">
                    <a:lumMod val="60000"/>
                    <a:lumOff val="40000"/>
                  </a:schemeClr>
                </a:solidFill>
                <a:latin typeface="+mn-lt"/>
                <a:ea typeface="+mn-ea"/>
                <a:cs typeface="+mn-cs"/>
              </a:rPr>
              <a:t>Conversions By Campaigns</a:t>
            </a:r>
          </a:p>
        </c:rich>
      </c:tx>
      <c:layout>
        <c:manualLayout>
          <c:xMode val="edge"/>
          <c:yMode val="edge"/>
          <c:x val="0.25368980040285666"/>
          <c:y val="5.0552922590837282E-2"/>
        </c:manualLayout>
      </c:layout>
      <c:overlay val="0"/>
      <c:spPr>
        <a:noFill/>
        <a:ln>
          <a:noFill/>
        </a:ln>
        <a:effectLst/>
      </c:spPr>
      <c:txPr>
        <a:bodyPr rot="0" spcFirstLastPara="1" vertOverflow="ellipsis" vert="horz" wrap="square" anchor="ctr" anchorCtr="1"/>
        <a:lstStyle/>
        <a:p>
          <a:pPr algn="ctr">
            <a:defRPr lang="en-US" sz="1000" b="0" i="0" u="none" strike="noStrike" kern="1200" spc="0" baseline="0">
              <a:solidFill>
                <a:schemeClr val="tx2">
                  <a:lumMod val="60000"/>
                  <a:lumOff val="40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000" b="0" i="0" u="none" strike="noStrike" kern="1200" baseline="0">
                  <a:solidFill>
                    <a:schemeClr val="tx2">
                      <a:lumMod val="60000"/>
                      <a:lumOff val="4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1000" b="0" i="0" u="none" strike="noStrike" kern="1200" baseline="0">
                    <a:solidFill>
                      <a:schemeClr val="tx2">
                        <a:lumMod val="60000"/>
                        <a:lumOff val="40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Table'!$B$5:$B$9</c:f>
              <c:strCache>
                <c:ptCount val="4"/>
                <c:pt idx="0">
                  <c:v>Facebook_Retargeting_Cart</c:v>
                </c:pt>
                <c:pt idx="1">
                  <c:v>Google_PMax_Apparel</c:v>
                </c:pt>
                <c:pt idx="2">
                  <c:v>High_Intent_Search</c:v>
                </c:pt>
                <c:pt idx="3">
                  <c:v>Holiday_Promo_Video</c:v>
                </c:pt>
              </c:strCache>
            </c:strRef>
          </c:cat>
          <c:val>
            <c:numRef>
              <c:f>'Pivot Table'!$C$5:$C$9</c:f>
              <c:numCache>
                <c:formatCode>General</c:formatCode>
                <c:ptCount val="4"/>
                <c:pt idx="0">
                  <c:v>5996</c:v>
                </c:pt>
                <c:pt idx="1">
                  <c:v>5611</c:v>
                </c:pt>
                <c:pt idx="2">
                  <c:v>5900</c:v>
                </c:pt>
                <c:pt idx="3">
                  <c:v>5902</c:v>
                </c:pt>
              </c:numCache>
            </c:numRef>
          </c:val>
          <c:extLst>
            <c:ext xmlns:c16="http://schemas.microsoft.com/office/drawing/2014/chart" uri="{C3380CC4-5D6E-409C-BE32-E72D297353CC}">
              <c16:uniqueId val="{00000000-2A7E-4EDF-8E42-62A6736C06A3}"/>
            </c:ext>
          </c:extLst>
        </c:ser>
        <c:dLbls>
          <c:dLblPos val="outEnd"/>
          <c:showLegendKey val="0"/>
          <c:showVal val="1"/>
          <c:showCatName val="0"/>
          <c:showSerName val="0"/>
          <c:showPercent val="0"/>
          <c:showBubbleSize val="0"/>
        </c:dLbls>
        <c:gapWidth val="182"/>
        <c:axId val="1228299039"/>
        <c:axId val="1228301951"/>
      </c:barChart>
      <c:catAx>
        <c:axId val="12282990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2">
                    <a:lumMod val="60000"/>
                    <a:lumOff val="40000"/>
                  </a:schemeClr>
                </a:solidFill>
                <a:latin typeface="+mn-lt"/>
                <a:ea typeface="+mn-ea"/>
                <a:cs typeface="+mn-cs"/>
              </a:defRPr>
            </a:pPr>
            <a:endParaRPr lang="en-PK"/>
          </a:p>
        </c:txPr>
        <c:crossAx val="1228301951"/>
        <c:crosses val="autoZero"/>
        <c:auto val="1"/>
        <c:lblAlgn val="ctr"/>
        <c:lblOffset val="100"/>
        <c:noMultiLvlLbl val="0"/>
      </c:catAx>
      <c:valAx>
        <c:axId val="12283019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28299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schemeClr>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[Conversion DataSet.xlsx]Pivot Table!PivotTable2</c:name>
    <c:fmtId val="3"/>
  </c:pivotSource>
  <c:chart>
    <c:title>
      <c:tx>
        <c:rich>
          <a:bodyPr rot="0" spcFirstLastPara="1" vertOverflow="ellipsis" vert="horz" wrap="square" anchor="ctr" anchorCtr="1"/>
          <a:lstStyle/>
          <a:p>
            <a:pPr algn="ctr">
              <a:defRPr lang="en-US" sz="1000" b="0" i="0" u="none" strike="noStrike" kern="1200" spc="0" baseline="0">
                <a:solidFill>
                  <a:schemeClr val="tx2">
                    <a:lumMod val="60000"/>
                    <a:lumOff val="40000"/>
                  </a:schemeClr>
                </a:solidFill>
                <a:latin typeface="+mn-lt"/>
                <a:ea typeface="+mn-ea"/>
                <a:cs typeface="+mn-cs"/>
              </a:defRPr>
            </a:pPr>
            <a:r>
              <a:rPr lang="en-US" sz="1000" b="0" i="0" u="none" strike="noStrike" kern="1200" baseline="0">
                <a:solidFill>
                  <a:schemeClr val="tx2">
                    <a:lumMod val="60000"/>
                    <a:lumOff val="40000"/>
                  </a:schemeClr>
                </a:solidFill>
                <a:latin typeface="+mn-lt"/>
                <a:ea typeface="+mn-ea"/>
                <a:cs typeface="+mn-cs"/>
              </a:rPr>
              <a:t>Avg CPA by Campaign</a:t>
            </a:r>
          </a:p>
        </c:rich>
      </c:tx>
      <c:layout>
        <c:manualLayout>
          <c:xMode val="edge"/>
          <c:yMode val="edge"/>
          <c:x val="0.32219444444444445"/>
          <c:y val="3.2407407407407406E-2"/>
        </c:manualLayout>
      </c:layout>
      <c:overlay val="0"/>
      <c:spPr>
        <a:noFill/>
        <a:ln>
          <a:noFill/>
        </a:ln>
        <a:effectLst/>
      </c:spPr>
      <c:txPr>
        <a:bodyPr rot="0" spcFirstLastPara="1" vertOverflow="ellipsis" vert="horz" wrap="square" anchor="ctr" anchorCtr="1"/>
        <a:lstStyle/>
        <a:p>
          <a:pPr algn="ctr">
            <a:defRPr lang="en-US" sz="1000" b="0" i="0" u="none" strike="noStrike" kern="1200" spc="0" baseline="0">
              <a:solidFill>
                <a:schemeClr val="tx2">
                  <a:lumMod val="60000"/>
                  <a:lumOff val="40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2">
                      <a:lumMod val="60000"/>
                      <a:lumOff val="4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2">
                        <a:lumMod val="60000"/>
                        <a:lumOff val="40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Table'!$B$13:$B$17</c:f>
              <c:strCache>
                <c:ptCount val="4"/>
                <c:pt idx="0">
                  <c:v>Facebook_Retargeting_Cart</c:v>
                </c:pt>
                <c:pt idx="1">
                  <c:v>Google_PMax_Apparel</c:v>
                </c:pt>
                <c:pt idx="2">
                  <c:v>High_Intent_Search</c:v>
                </c:pt>
                <c:pt idx="3">
                  <c:v>Holiday_Promo_Video</c:v>
                </c:pt>
              </c:strCache>
            </c:strRef>
          </c:cat>
          <c:val>
            <c:numRef>
              <c:f>'Pivot Table'!$C$13:$C$17</c:f>
              <c:numCache>
                <c:formatCode>0.0</c:formatCode>
                <c:ptCount val="4"/>
                <c:pt idx="0">
                  <c:v>33.061978707242233</c:v>
                </c:pt>
                <c:pt idx="1">
                  <c:v>26.466585151008509</c:v>
                </c:pt>
                <c:pt idx="2">
                  <c:v>28.604385492016217</c:v>
                </c:pt>
                <c:pt idx="3">
                  <c:v>32.219001054104218</c:v>
                </c:pt>
              </c:numCache>
            </c:numRef>
          </c:val>
          <c:extLst>
            <c:ext xmlns:c16="http://schemas.microsoft.com/office/drawing/2014/chart" uri="{C3380CC4-5D6E-409C-BE32-E72D297353CC}">
              <c16:uniqueId val="{00000000-E121-4D21-A9C3-F6B2AE33745E}"/>
            </c:ext>
          </c:extLst>
        </c:ser>
        <c:dLbls>
          <c:dLblPos val="outEnd"/>
          <c:showLegendKey val="0"/>
          <c:showVal val="1"/>
          <c:showCatName val="0"/>
          <c:showSerName val="0"/>
          <c:showPercent val="0"/>
          <c:showBubbleSize val="0"/>
        </c:dLbls>
        <c:gapWidth val="219"/>
        <c:overlap val="-27"/>
        <c:axId val="1308984255"/>
        <c:axId val="1308985919"/>
      </c:barChart>
      <c:catAx>
        <c:axId val="1308984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tx2">
                    <a:lumMod val="60000"/>
                    <a:lumOff val="40000"/>
                  </a:schemeClr>
                </a:solidFill>
                <a:latin typeface="+mn-lt"/>
                <a:ea typeface="+mn-ea"/>
                <a:cs typeface="+mn-cs"/>
              </a:defRPr>
            </a:pPr>
            <a:endParaRPr lang="en-PK"/>
          </a:p>
        </c:txPr>
        <c:crossAx val="1308985919"/>
        <c:crosses val="autoZero"/>
        <c:auto val="1"/>
        <c:lblAlgn val="ctr"/>
        <c:lblOffset val="100"/>
        <c:noMultiLvlLbl val="0"/>
      </c:catAx>
      <c:valAx>
        <c:axId val="1308985919"/>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30898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[Conversion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a:solidFill>
                  <a:schemeClr val="tx2">
                    <a:lumMod val="60000"/>
                    <a:lumOff val="40000"/>
                  </a:schemeClr>
                </a:solidFill>
              </a:rPr>
              <a:t>Avg</a:t>
            </a:r>
            <a:r>
              <a:rPr lang="en-US" baseline="0">
                <a:solidFill>
                  <a:schemeClr val="tx2">
                    <a:lumMod val="60000"/>
                    <a:lumOff val="40000"/>
                  </a:schemeClr>
                </a:solidFill>
              </a:rPr>
              <a:t> CVR by Device</a:t>
            </a:r>
            <a:endParaRPr lang="en-US">
              <a:solidFill>
                <a:schemeClr val="tx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2">
                      <a:lumMod val="60000"/>
                      <a:lumOff val="4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2">
                        <a:lumMod val="60000"/>
                        <a:lumOff val="40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Table'!$B$37:$B$40</c:f>
              <c:strCache>
                <c:ptCount val="3"/>
                <c:pt idx="0">
                  <c:v>Desktop</c:v>
                </c:pt>
                <c:pt idx="1">
                  <c:v>Mobile</c:v>
                </c:pt>
                <c:pt idx="2">
                  <c:v>Tablet</c:v>
                </c:pt>
              </c:strCache>
            </c:strRef>
          </c:cat>
          <c:val>
            <c:numRef>
              <c:f>'Pivot Table'!$C$37:$C$40</c:f>
              <c:numCache>
                <c:formatCode>0.0</c:formatCode>
                <c:ptCount val="3"/>
                <c:pt idx="0">
                  <c:v>6.2038391724113575</c:v>
                </c:pt>
                <c:pt idx="1">
                  <c:v>8.1113365840350315</c:v>
                </c:pt>
                <c:pt idx="2">
                  <c:v>9.4406863993946146</c:v>
                </c:pt>
              </c:numCache>
            </c:numRef>
          </c:val>
          <c:extLst>
            <c:ext xmlns:c16="http://schemas.microsoft.com/office/drawing/2014/chart" uri="{C3380CC4-5D6E-409C-BE32-E72D297353CC}">
              <c16:uniqueId val="{00000000-6E63-4F5C-A7CD-9C6E279D7F1D}"/>
            </c:ext>
          </c:extLst>
        </c:ser>
        <c:dLbls>
          <c:dLblPos val="outEnd"/>
          <c:showLegendKey val="0"/>
          <c:showVal val="1"/>
          <c:showCatName val="0"/>
          <c:showSerName val="0"/>
          <c:showPercent val="0"/>
          <c:showBubbleSize val="0"/>
        </c:dLbls>
        <c:gapWidth val="182"/>
        <c:axId val="1448843647"/>
        <c:axId val="1448855295"/>
      </c:barChart>
      <c:catAx>
        <c:axId val="144884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PK"/>
          </a:p>
        </c:txPr>
        <c:crossAx val="1448855295"/>
        <c:crosses val="autoZero"/>
        <c:auto val="1"/>
        <c:lblAlgn val="ctr"/>
        <c:lblOffset val="100"/>
        <c:noMultiLvlLbl val="0"/>
      </c:catAx>
      <c:valAx>
        <c:axId val="1448855295"/>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448843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123825</xdr:colOff>
      <xdr:row>7</xdr:row>
      <xdr:rowOff>115166</xdr:rowOff>
    </xdr:from>
    <xdr:to>
      <xdr:col>10</xdr:col>
      <xdr:colOff>142874</xdr:colOff>
      <xdr:row>18</xdr:row>
      <xdr:rowOff>129886</xdr:rowOff>
    </xdr:to>
    <xdr:graphicFrame macro="">
      <xdr:nvGraphicFramePr>
        <xdr:cNvPr id="2" name="Chart 1">
          <a:extLst>
            <a:ext uri="{FF2B5EF4-FFF2-40B4-BE49-F238E27FC236}">
              <a16:creationId xmlns:a16="http://schemas.microsoft.com/office/drawing/2014/main" id="{071E06B0-CBB1-4D04-9B0B-1CC333E60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200026</xdr:colOff>
      <xdr:row>10</xdr:row>
      <xdr:rowOff>1731</xdr:rowOff>
    </xdr:from>
    <xdr:to>
      <xdr:col>18</xdr:col>
      <xdr:colOff>476250</xdr:colOff>
      <xdr:row>18</xdr:row>
      <xdr:rowOff>129886</xdr:rowOff>
    </xdr:to>
    <xdr:graphicFrame macro="">
      <xdr:nvGraphicFramePr>
        <xdr:cNvPr id="3" name="Chart 2">
          <a:extLst>
            <a:ext uri="{FF2B5EF4-FFF2-40B4-BE49-F238E27FC236}">
              <a16:creationId xmlns:a16="http://schemas.microsoft.com/office/drawing/2014/main" id="{966A0479-FF7E-4926-880A-E79D8447F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51090</xdr:rowOff>
    </xdr:from>
    <xdr:to>
      <xdr:col>18</xdr:col>
      <xdr:colOff>467589</xdr:colOff>
      <xdr:row>9</xdr:row>
      <xdr:rowOff>136814</xdr:rowOff>
    </xdr:to>
    <xdr:graphicFrame macro="">
      <xdr:nvGraphicFramePr>
        <xdr:cNvPr id="4" name="Chart 3">
          <a:extLst>
            <a:ext uri="{FF2B5EF4-FFF2-40B4-BE49-F238E27FC236}">
              <a16:creationId xmlns:a16="http://schemas.microsoft.com/office/drawing/2014/main" id="{71556AF0-0BD5-4C3E-A48D-C6E6905A9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57151</xdr:colOff>
      <xdr:row>4</xdr:row>
      <xdr:rowOff>57151</xdr:rowOff>
    </xdr:from>
    <xdr:to>
      <xdr:col>3</xdr:col>
      <xdr:colOff>57151</xdr:colOff>
      <xdr:row>12</xdr:row>
      <xdr:rowOff>25977</xdr:rowOff>
    </xdr:to>
    <mc:AlternateContent xmlns:mc="http://schemas.openxmlformats.org/markup-compatibility/2006" xmlns:a14="http://schemas.microsoft.com/office/drawing/2010/main">
      <mc:Choice Requires="a14">
        <xdr:graphicFrame macro="">
          <xdr:nvGraphicFramePr>
            <xdr:cNvPr id="5" name="Campaign">
              <a:extLst>
                <a:ext uri="{FF2B5EF4-FFF2-40B4-BE49-F238E27FC236}">
                  <a16:creationId xmlns:a16="http://schemas.microsoft.com/office/drawing/2014/main" id="{E360350A-C2EA-480D-A4C5-03D2FF02885F}"/>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57151" y="819151"/>
              <a:ext cx="1818409" cy="149282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66676</xdr:colOff>
      <xdr:row>12</xdr:row>
      <xdr:rowOff>88322</xdr:rowOff>
    </xdr:from>
    <xdr:to>
      <xdr:col>3</xdr:col>
      <xdr:colOff>66676</xdr:colOff>
      <xdr:row>18</xdr:row>
      <xdr:rowOff>135947</xdr:rowOff>
    </xdr:to>
    <mc:AlternateContent xmlns:mc="http://schemas.openxmlformats.org/markup-compatibility/2006" xmlns:a14="http://schemas.microsoft.com/office/drawing/2010/main">
      <mc:Choice Requires="a14">
        <xdr:graphicFrame macro="">
          <xdr:nvGraphicFramePr>
            <xdr:cNvPr id="6" name="Device">
              <a:extLst>
                <a:ext uri="{FF2B5EF4-FFF2-40B4-BE49-F238E27FC236}">
                  <a16:creationId xmlns:a16="http://schemas.microsoft.com/office/drawing/2014/main" id="{883D54DB-84B9-4C4A-99B4-376EB532F2EC}"/>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66676" y="2374322"/>
              <a:ext cx="1818409" cy="11906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142875</xdr:colOff>
      <xdr:row>4</xdr:row>
      <xdr:rowOff>38101</xdr:rowOff>
    </xdr:from>
    <xdr:to>
      <xdr:col>10</xdr:col>
      <xdr:colOff>76200</xdr:colOff>
      <xdr:row>7</xdr:row>
      <xdr:rowOff>28576</xdr:rowOff>
    </xdr:to>
    <xdr:grpSp>
      <xdr:nvGrpSpPr>
        <xdr:cNvPr id="25" name="Group 24">
          <a:extLst>
            <a:ext uri="{FF2B5EF4-FFF2-40B4-BE49-F238E27FC236}">
              <a16:creationId xmlns:a16="http://schemas.microsoft.com/office/drawing/2014/main" id="{68761E5E-49B6-433C-B95F-98866CD58375}"/>
            </a:ext>
          </a:extLst>
        </xdr:cNvPr>
        <xdr:cNvGrpSpPr/>
      </xdr:nvGrpSpPr>
      <xdr:grpSpPr>
        <a:xfrm>
          <a:off x="1961284" y="800101"/>
          <a:ext cx="4176280" cy="561975"/>
          <a:chOff x="2028825" y="1209676"/>
          <a:chExt cx="4200525" cy="561975"/>
        </a:xfrm>
      </xdr:grpSpPr>
      <xdr:grpSp>
        <xdr:nvGrpSpPr>
          <xdr:cNvPr id="10" name="Group 9">
            <a:extLst>
              <a:ext uri="{FF2B5EF4-FFF2-40B4-BE49-F238E27FC236}">
                <a16:creationId xmlns:a16="http://schemas.microsoft.com/office/drawing/2014/main" id="{0B0D6FB2-1132-4E5F-88BA-AF9C8902DC02}"/>
              </a:ext>
            </a:extLst>
          </xdr:cNvPr>
          <xdr:cNvGrpSpPr/>
        </xdr:nvGrpSpPr>
        <xdr:grpSpPr>
          <a:xfrm>
            <a:off x="2028825" y="1219201"/>
            <a:ext cx="1000125" cy="533400"/>
            <a:chOff x="2028825" y="1219201"/>
            <a:chExt cx="1000125" cy="533400"/>
          </a:xfrm>
        </xdr:grpSpPr>
        <xdr:sp macro="" textlink="">
          <xdr:nvSpPr>
            <xdr:cNvPr id="7" name="Rectangle: Rounded Corners 6">
              <a:extLst>
                <a:ext uri="{FF2B5EF4-FFF2-40B4-BE49-F238E27FC236}">
                  <a16:creationId xmlns:a16="http://schemas.microsoft.com/office/drawing/2014/main" id="{AA1F3A17-44D3-4116-968C-6FA6BA978F07}"/>
                </a:ext>
              </a:extLst>
            </xdr:cNvPr>
            <xdr:cNvSpPr/>
          </xdr:nvSpPr>
          <xdr:spPr>
            <a:xfrm>
              <a:off x="2028825" y="1219201"/>
              <a:ext cx="1000125" cy="533400"/>
            </a:xfrm>
            <a:prstGeom prst="roundRect">
              <a:avLst/>
            </a:prstGeom>
            <a:solidFill>
              <a:schemeClr val="tx2">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PK" sz="1100"/>
            </a:p>
          </xdr:txBody>
        </xdr:sp>
        <xdr:sp macro="" textlink="">
          <xdr:nvSpPr>
            <xdr:cNvPr id="8" name="TextBox 7">
              <a:extLst>
                <a:ext uri="{FF2B5EF4-FFF2-40B4-BE49-F238E27FC236}">
                  <a16:creationId xmlns:a16="http://schemas.microsoft.com/office/drawing/2014/main" id="{E0027D0A-15FA-47FF-B4C5-8296E2ECB706}"/>
                </a:ext>
              </a:extLst>
            </xdr:cNvPr>
            <xdr:cNvSpPr txBox="1"/>
          </xdr:nvSpPr>
          <xdr:spPr>
            <a:xfrm>
              <a:off x="2171700" y="1257300"/>
              <a:ext cx="6953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tx2">
                      <a:lumMod val="60000"/>
                      <a:lumOff val="40000"/>
                    </a:schemeClr>
                  </a:solidFill>
                </a:rPr>
                <a:t>Total Conv</a:t>
              </a:r>
              <a:endParaRPr lang="en-PK" sz="900">
                <a:solidFill>
                  <a:schemeClr val="tx2">
                    <a:lumMod val="60000"/>
                    <a:lumOff val="40000"/>
                  </a:schemeClr>
                </a:solidFill>
              </a:endParaRPr>
            </a:p>
          </xdr:txBody>
        </xdr:sp>
        <xdr:sp macro="" textlink="$A$17">
          <xdr:nvSpPr>
            <xdr:cNvPr id="9" name="TextBox 8">
              <a:extLst>
                <a:ext uri="{FF2B5EF4-FFF2-40B4-BE49-F238E27FC236}">
                  <a16:creationId xmlns:a16="http://schemas.microsoft.com/office/drawing/2014/main" id="{0CE7FE59-6551-4173-A5CB-F7363429460F}"/>
                </a:ext>
              </a:extLst>
            </xdr:cNvPr>
            <xdr:cNvSpPr txBox="1"/>
          </xdr:nvSpPr>
          <xdr:spPr>
            <a:xfrm>
              <a:off x="2190750" y="1457325"/>
              <a:ext cx="6953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53E304-736A-479C-95A3-DF47073A28D7}" type="TxLink">
                <a:rPr lang="en-US" sz="1100" b="0" i="0" u="none" strike="noStrike">
                  <a:solidFill>
                    <a:schemeClr val="tx2">
                      <a:lumMod val="60000"/>
                      <a:lumOff val="40000"/>
                    </a:schemeClr>
                  </a:solidFill>
                  <a:latin typeface="Calibri"/>
                  <a:cs typeface="Calibri"/>
                </a:rPr>
                <a:pPr algn="ctr"/>
                <a:t>23409</a:t>
              </a:fld>
              <a:endParaRPr lang="en-PK" sz="1100">
                <a:solidFill>
                  <a:schemeClr val="tx2">
                    <a:lumMod val="60000"/>
                    <a:lumOff val="40000"/>
                  </a:schemeClr>
                </a:solidFill>
              </a:endParaRPr>
            </a:p>
          </xdr:txBody>
        </xdr:sp>
      </xdr:grpSp>
      <xdr:grpSp>
        <xdr:nvGrpSpPr>
          <xdr:cNvPr id="11" name="Group 10">
            <a:extLst>
              <a:ext uri="{FF2B5EF4-FFF2-40B4-BE49-F238E27FC236}">
                <a16:creationId xmlns:a16="http://schemas.microsoft.com/office/drawing/2014/main" id="{9FB0B300-1864-4EE7-A1F0-49E2B39FD82F}"/>
              </a:ext>
            </a:extLst>
          </xdr:cNvPr>
          <xdr:cNvGrpSpPr/>
        </xdr:nvGrpSpPr>
        <xdr:grpSpPr>
          <a:xfrm>
            <a:off x="3114675" y="1209676"/>
            <a:ext cx="1000125" cy="533400"/>
            <a:chOff x="2028825" y="1219201"/>
            <a:chExt cx="1000125" cy="533400"/>
          </a:xfrm>
        </xdr:grpSpPr>
        <xdr:sp macro="" textlink="">
          <xdr:nvSpPr>
            <xdr:cNvPr id="12" name="Rectangle: Rounded Corners 11">
              <a:extLst>
                <a:ext uri="{FF2B5EF4-FFF2-40B4-BE49-F238E27FC236}">
                  <a16:creationId xmlns:a16="http://schemas.microsoft.com/office/drawing/2014/main" id="{6123D5F7-3E13-43A8-AD2E-EC294D280447}"/>
                </a:ext>
              </a:extLst>
            </xdr:cNvPr>
            <xdr:cNvSpPr/>
          </xdr:nvSpPr>
          <xdr:spPr>
            <a:xfrm>
              <a:off x="2028825" y="1219201"/>
              <a:ext cx="1000125" cy="533400"/>
            </a:xfrm>
            <a:prstGeom prst="roundRect">
              <a:avLst/>
            </a:prstGeom>
            <a:solidFill>
              <a:schemeClr val="tx2">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PK" sz="1100"/>
            </a:p>
          </xdr:txBody>
        </xdr:sp>
        <xdr:sp macro="" textlink="">
          <xdr:nvSpPr>
            <xdr:cNvPr id="13" name="TextBox 12">
              <a:extLst>
                <a:ext uri="{FF2B5EF4-FFF2-40B4-BE49-F238E27FC236}">
                  <a16:creationId xmlns:a16="http://schemas.microsoft.com/office/drawing/2014/main" id="{141B7ADD-9E1C-45EE-BB74-6F8F8D89B3F9}"/>
                </a:ext>
              </a:extLst>
            </xdr:cNvPr>
            <xdr:cNvSpPr txBox="1"/>
          </xdr:nvSpPr>
          <xdr:spPr>
            <a:xfrm>
              <a:off x="2171700" y="1257300"/>
              <a:ext cx="6953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tx2">
                      <a:lumMod val="60000"/>
                      <a:lumOff val="40000"/>
                    </a:schemeClr>
                  </a:solidFill>
                </a:rPr>
                <a:t>Avg CPA</a:t>
              </a:r>
              <a:endParaRPr lang="en-PK" sz="900">
                <a:solidFill>
                  <a:schemeClr val="tx2">
                    <a:lumMod val="60000"/>
                    <a:lumOff val="40000"/>
                  </a:schemeClr>
                </a:solidFill>
              </a:endParaRPr>
            </a:p>
          </xdr:txBody>
        </xdr:sp>
        <xdr:sp macro="" textlink="$A$16">
          <xdr:nvSpPr>
            <xdr:cNvPr id="14" name="TextBox 13">
              <a:extLst>
                <a:ext uri="{FF2B5EF4-FFF2-40B4-BE49-F238E27FC236}">
                  <a16:creationId xmlns:a16="http://schemas.microsoft.com/office/drawing/2014/main" id="{C40FA080-FCF2-4B76-82EB-B68D68CAA64F}"/>
                </a:ext>
              </a:extLst>
            </xdr:cNvPr>
            <xdr:cNvSpPr txBox="1"/>
          </xdr:nvSpPr>
          <xdr:spPr>
            <a:xfrm>
              <a:off x="2190750" y="1457325"/>
              <a:ext cx="6953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FAA2EF-4355-4EE5-9641-747087C40733}" type="TxLink">
                <a:rPr lang="en-US" sz="1100" b="0" i="0" u="none" strike="noStrike">
                  <a:solidFill>
                    <a:schemeClr val="tx2">
                      <a:lumMod val="60000"/>
                      <a:lumOff val="40000"/>
                    </a:schemeClr>
                  </a:solidFill>
                  <a:latin typeface="Calibri"/>
                  <a:cs typeface="Calibri"/>
                </a:rPr>
                <a:pPr algn="ctr"/>
                <a:t>30.1</a:t>
              </a:fld>
              <a:endParaRPr lang="en-PK" sz="1100">
                <a:solidFill>
                  <a:schemeClr val="tx2">
                    <a:lumMod val="60000"/>
                    <a:lumOff val="40000"/>
                  </a:schemeClr>
                </a:solidFill>
              </a:endParaRPr>
            </a:p>
          </xdr:txBody>
        </xdr:sp>
      </xdr:grpSp>
      <xdr:grpSp>
        <xdr:nvGrpSpPr>
          <xdr:cNvPr id="15" name="Group 14">
            <a:extLst>
              <a:ext uri="{FF2B5EF4-FFF2-40B4-BE49-F238E27FC236}">
                <a16:creationId xmlns:a16="http://schemas.microsoft.com/office/drawing/2014/main" id="{17AAC706-598A-4D5E-8785-34A9A0EF3B13}"/>
              </a:ext>
            </a:extLst>
          </xdr:cNvPr>
          <xdr:cNvGrpSpPr/>
        </xdr:nvGrpSpPr>
        <xdr:grpSpPr>
          <a:xfrm>
            <a:off x="4181475" y="1228726"/>
            <a:ext cx="1000125" cy="533400"/>
            <a:chOff x="2028825" y="1219201"/>
            <a:chExt cx="1000125" cy="533400"/>
          </a:xfrm>
        </xdr:grpSpPr>
        <xdr:sp macro="" textlink="">
          <xdr:nvSpPr>
            <xdr:cNvPr id="16" name="Rectangle: Rounded Corners 15">
              <a:extLst>
                <a:ext uri="{FF2B5EF4-FFF2-40B4-BE49-F238E27FC236}">
                  <a16:creationId xmlns:a16="http://schemas.microsoft.com/office/drawing/2014/main" id="{8F980052-14B2-4555-B158-643AAAA9AB59}"/>
                </a:ext>
              </a:extLst>
            </xdr:cNvPr>
            <xdr:cNvSpPr/>
          </xdr:nvSpPr>
          <xdr:spPr>
            <a:xfrm>
              <a:off x="2028825" y="1219201"/>
              <a:ext cx="1000125" cy="533400"/>
            </a:xfrm>
            <a:prstGeom prst="roundRect">
              <a:avLst/>
            </a:prstGeom>
            <a:solidFill>
              <a:schemeClr val="tx2">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PK" sz="1100"/>
            </a:p>
          </xdr:txBody>
        </xdr:sp>
        <xdr:sp macro="" textlink="">
          <xdr:nvSpPr>
            <xdr:cNvPr id="17" name="TextBox 16">
              <a:extLst>
                <a:ext uri="{FF2B5EF4-FFF2-40B4-BE49-F238E27FC236}">
                  <a16:creationId xmlns:a16="http://schemas.microsoft.com/office/drawing/2014/main" id="{A99302CB-6216-43B6-996E-FD5B347D14CB}"/>
                </a:ext>
              </a:extLst>
            </xdr:cNvPr>
            <xdr:cNvSpPr txBox="1"/>
          </xdr:nvSpPr>
          <xdr:spPr>
            <a:xfrm>
              <a:off x="2171700" y="1257300"/>
              <a:ext cx="6953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tx2">
                      <a:lumMod val="60000"/>
                      <a:lumOff val="40000"/>
                    </a:schemeClr>
                  </a:solidFill>
                </a:rPr>
                <a:t>Avg CR</a:t>
              </a:r>
              <a:endParaRPr lang="en-PK" sz="900">
                <a:solidFill>
                  <a:schemeClr val="tx2">
                    <a:lumMod val="60000"/>
                    <a:lumOff val="40000"/>
                  </a:schemeClr>
                </a:solidFill>
              </a:endParaRPr>
            </a:p>
          </xdr:txBody>
        </xdr:sp>
        <xdr:sp macro="" textlink="$A$18">
          <xdr:nvSpPr>
            <xdr:cNvPr id="18" name="TextBox 17">
              <a:extLst>
                <a:ext uri="{FF2B5EF4-FFF2-40B4-BE49-F238E27FC236}">
                  <a16:creationId xmlns:a16="http://schemas.microsoft.com/office/drawing/2014/main" id="{E1985BB6-AC7A-406C-9601-00CB98A37558}"/>
                </a:ext>
              </a:extLst>
            </xdr:cNvPr>
            <xdr:cNvSpPr txBox="1"/>
          </xdr:nvSpPr>
          <xdr:spPr>
            <a:xfrm>
              <a:off x="2190750" y="1457325"/>
              <a:ext cx="6953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1A4829-BB20-4253-9B5B-5465F0AEE1CF}" type="TxLink">
                <a:rPr lang="en-US" sz="1100" b="0" i="0" u="none" strike="noStrike">
                  <a:solidFill>
                    <a:schemeClr val="tx2">
                      <a:lumMod val="60000"/>
                      <a:lumOff val="40000"/>
                    </a:schemeClr>
                  </a:solidFill>
                  <a:latin typeface="Calibri"/>
                  <a:cs typeface="Calibri"/>
                </a:rPr>
                <a:pPr algn="ctr"/>
                <a:t>7.9</a:t>
              </a:fld>
              <a:endParaRPr lang="en-PK" sz="1100">
                <a:solidFill>
                  <a:schemeClr val="tx2">
                    <a:lumMod val="60000"/>
                    <a:lumOff val="40000"/>
                  </a:schemeClr>
                </a:solidFill>
              </a:endParaRPr>
            </a:p>
          </xdr:txBody>
        </xdr:sp>
      </xdr:grpSp>
      <xdr:grpSp>
        <xdr:nvGrpSpPr>
          <xdr:cNvPr id="19" name="Group 18">
            <a:extLst>
              <a:ext uri="{FF2B5EF4-FFF2-40B4-BE49-F238E27FC236}">
                <a16:creationId xmlns:a16="http://schemas.microsoft.com/office/drawing/2014/main" id="{7A717EEE-75EC-431A-A4E8-0FF9EEB52499}"/>
              </a:ext>
            </a:extLst>
          </xdr:cNvPr>
          <xdr:cNvGrpSpPr/>
        </xdr:nvGrpSpPr>
        <xdr:grpSpPr>
          <a:xfrm>
            <a:off x="5229225" y="1238251"/>
            <a:ext cx="1000125" cy="533400"/>
            <a:chOff x="2028825" y="1219201"/>
            <a:chExt cx="1000125" cy="533400"/>
          </a:xfrm>
        </xdr:grpSpPr>
        <xdr:sp macro="" textlink="">
          <xdr:nvSpPr>
            <xdr:cNvPr id="20" name="Rectangle: Rounded Corners 19">
              <a:extLst>
                <a:ext uri="{FF2B5EF4-FFF2-40B4-BE49-F238E27FC236}">
                  <a16:creationId xmlns:a16="http://schemas.microsoft.com/office/drawing/2014/main" id="{75ED221D-F201-4CA8-AB50-79B8E1F1315D}"/>
                </a:ext>
              </a:extLst>
            </xdr:cNvPr>
            <xdr:cNvSpPr/>
          </xdr:nvSpPr>
          <xdr:spPr>
            <a:xfrm>
              <a:off x="2028825" y="1219201"/>
              <a:ext cx="1000125" cy="533400"/>
            </a:xfrm>
            <a:prstGeom prst="roundRect">
              <a:avLst/>
            </a:prstGeom>
            <a:solidFill>
              <a:schemeClr val="tx2">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PK" sz="1100"/>
            </a:p>
          </xdr:txBody>
        </xdr:sp>
        <xdr:sp macro="" textlink="">
          <xdr:nvSpPr>
            <xdr:cNvPr id="21" name="TextBox 20">
              <a:extLst>
                <a:ext uri="{FF2B5EF4-FFF2-40B4-BE49-F238E27FC236}">
                  <a16:creationId xmlns:a16="http://schemas.microsoft.com/office/drawing/2014/main" id="{D3FB702C-BE69-4682-9379-C4F633AB12BD}"/>
                </a:ext>
              </a:extLst>
            </xdr:cNvPr>
            <xdr:cNvSpPr txBox="1"/>
          </xdr:nvSpPr>
          <xdr:spPr>
            <a:xfrm>
              <a:off x="2171700" y="1257300"/>
              <a:ext cx="6953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tx2">
                      <a:lumMod val="60000"/>
                      <a:lumOff val="40000"/>
                    </a:schemeClr>
                  </a:solidFill>
                </a:rPr>
                <a:t>ROAS</a:t>
              </a:r>
              <a:endParaRPr lang="en-PK" sz="900">
                <a:solidFill>
                  <a:schemeClr val="tx2">
                    <a:lumMod val="60000"/>
                    <a:lumOff val="40000"/>
                  </a:schemeClr>
                </a:solidFill>
              </a:endParaRPr>
            </a:p>
          </xdr:txBody>
        </xdr:sp>
        <xdr:sp macro="" textlink="$A$19">
          <xdr:nvSpPr>
            <xdr:cNvPr id="22" name="TextBox 21">
              <a:extLst>
                <a:ext uri="{FF2B5EF4-FFF2-40B4-BE49-F238E27FC236}">
                  <a16:creationId xmlns:a16="http://schemas.microsoft.com/office/drawing/2014/main" id="{5760D876-67AF-4F62-B790-82F653BAE4E1}"/>
                </a:ext>
              </a:extLst>
            </xdr:cNvPr>
            <xdr:cNvSpPr txBox="1"/>
          </xdr:nvSpPr>
          <xdr:spPr>
            <a:xfrm>
              <a:off x="2190750" y="1457325"/>
              <a:ext cx="6953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97667F-92DA-43FF-94C9-305234959429}" type="TxLink">
                <a:rPr lang="en-US" sz="1100" b="0" i="0" u="none" strike="noStrike">
                  <a:solidFill>
                    <a:schemeClr val="tx2">
                      <a:lumMod val="60000"/>
                      <a:lumOff val="40000"/>
                    </a:schemeClr>
                  </a:solidFill>
                  <a:latin typeface="Calibri"/>
                  <a:cs typeface="Calibri"/>
                </a:rPr>
                <a:pPr algn="ctr"/>
                <a:t>3.2</a:t>
              </a:fld>
              <a:endParaRPr lang="en-PK" sz="1100">
                <a:solidFill>
                  <a:schemeClr val="tx2">
                    <a:lumMod val="60000"/>
                    <a:lumOff val="40000"/>
                  </a:schemeClr>
                </a:solidFill>
              </a:endParaRPr>
            </a:p>
          </xdr:txBody>
        </xdr:sp>
      </xdr:grpSp>
    </xdr:grpSp>
    <xdr:clientData/>
  </xdr:twoCellAnchor>
  <xdr:twoCellAnchor>
    <xdr:from>
      <xdr:col>0</xdr:col>
      <xdr:colOff>83993</xdr:colOff>
      <xdr:row>0</xdr:row>
      <xdr:rowOff>52821</xdr:rowOff>
    </xdr:from>
    <xdr:to>
      <xdr:col>10</xdr:col>
      <xdr:colOff>141143</xdr:colOff>
      <xdr:row>3</xdr:row>
      <xdr:rowOff>167121</xdr:rowOff>
    </xdr:to>
    <xdr:grpSp>
      <xdr:nvGrpSpPr>
        <xdr:cNvPr id="26" name="Group 25">
          <a:extLst>
            <a:ext uri="{FF2B5EF4-FFF2-40B4-BE49-F238E27FC236}">
              <a16:creationId xmlns:a16="http://schemas.microsoft.com/office/drawing/2014/main" id="{79DCFADB-C32C-4CD3-948B-E4D21839693A}"/>
            </a:ext>
          </a:extLst>
        </xdr:cNvPr>
        <xdr:cNvGrpSpPr/>
      </xdr:nvGrpSpPr>
      <xdr:grpSpPr>
        <a:xfrm>
          <a:off x="83993" y="52821"/>
          <a:ext cx="6118514" cy="685800"/>
          <a:chOff x="83993" y="52821"/>
          <a:chExt cx="6118514" cy="685800"/>
        </a:xfrm>
      </xdr:grpSpPr>
      <xdr:sp macro="" textlink="">
        <xdr:nvSpPr>
          <xdr:cNvPr id="23" name="Rectangle: Rounded Corners 22">
            <a:extLst>
              <a:ext uri="{FF2B5EF4-FFF2-40B4-BE49-F238E27FC236}">
                <a16:creationId xmlns:a16="http://schemas.microsoft.com/office/drawing/2014/main" id="{0800B218-E0D0-4AB9-B07D-ECD37106FF8F}"/>
              </a:ext>
            </a:extLst>
          </xdr:cNvPr>
          <xdr:cNvSpPr/>
        </xdr:nvSpPr>
        <xdr:spPr>
          <a:xfrm>
            <a:off x="83993" y="52821"/>
            <a:ext cx="6118514" cy="685800"/>
          </a:xfrm>
          <a:prstGeom prst="roundRect">
            <a:avLst/>
          </a:prstGeom>
          <a:solidFill>
            <a:schemeClr val="tx2">
              <a:lumMod val="50000"/>
            </a:schemeClr>
          </a:solidFill>
          <a:ln w="9525">
            <a:noFill/>
            <a:miter lim="800000"/>
            <a:headEnd/>
            <a:tailEnd/>
          </a:ln>
        </xdr:spPr>
        <xdr:txBody>
          <a:bodyPr vertOverflow="clip" wrap="square" lIns="27432" tIns="27432" rIns="0" bIns="0" anchor="t" upright="1"/>
          <a:lstStyle/>
          <a:p>
            <a:pPr marL="0" indent="0" algn="l" rtl="0">
              <a:defRPr sz="1000"/>
            </a:pPr>
            <a:endParaRPr lang="en-PK" sz="1600" b="0" i="0" u="none" strike="noStrike" baseline="0">
              <a:solidFill>
                <a:schemeClr val="tx2">
                  <a:lumMod val="60000"/>
                  <a:lumOff val="40000"/>
                </a:schemeClr>
              </a:solidFill>
              <a:latin typeface="Calibri"/>
              <a:ea typeface="+mn-ea"/>
              <a:cs typeface="Calibri"/>
            </a:endParaRPr>
          </a:p>
        </xdr:txBody>
      </xdr:sp>
      <xdr:sp macro="" textlink="">
        <xdr:nvSpPr>
          <xdr:cNvPr id="3073" name="Text Box 1">
            <a:extLst>
              <a:ext uri="{FF2B5EF4-FFF2-40B4-BE49-F238E27FC236}">
                <a16:creationId xmlns:a16="http://schemas.microsoft.com/office/drawing/2014/main" id="{0988BCFE-981C-437E-9EF8-107C8632F299}"/>
              </a:ext>
            </a:extLst>
          </xdr:cNvPr>
          <xdr:cNvSpPr txBox="1">
            <a:spLocks noChangeArrowheads="1"/>
          </xdr:cNvSpPr>
        </xdr:nvSpPr>
        <xdr:spPr bwMode="auto">
          <a:xfrm>
            <a:off x="1885084" y="152400"/>
            <a:ext cx="3979717" cy="352425"/>
          </a:xfrm>
          <a:prstGeom prst="rect">
            <a:avLst/>
          </a:prstGeom>
          <a:solidFill>
            <a:schemeClr val="tx2">
              <a:lumMod val="50000"/>
            </a:schemeClr>
          </a:solidFill>
          <a:ln w="9525">
            <a:noFill/>
            <a:miter lim="800000"/>
            <a:headEnd/>
            <a:tailEnd/>
          </a:ln>
        </xdr:spPr>
        <xdr:txBody>
          <a:bodyPr vertOverflow="clip" wrap="square" lIns="27432" tIns="27432" rIns="0" bIns="0" anchor="t" upright="1"/>
          <a:lstStyle/>
          <a:p>
            <a:pPr algn="l" rtl="0">
              <a:defRPr sz="1000"/>
            </a:pPr>
            <a:r>
              <a:rPr lang="en-PK" sz="1600" b="0" i="0" u="none" strike="noStrike" baseline="0">
                <a:solidFill>
                  <a:schemeClr val="tx2">
                    <a:lumMod val="60000"/>
                    <a:lumOff val="40000"/>
                  </a:schemeClr>
                </a:solidFill>
                <a:latin typeface="Calibri"/>
                <a:cs typeface="Calibri"/>
              </a:rPr>
              <a:t>Conversion Effectiveness Performance Analysis</a:t>
            </a:r>
          </a:p>
        </xdr:txBody>
      </xdr:sp>
      <xdr:sp macro="" textlink="">
        <xdr:nvSpPr>
          <xdr:cNvPr id="24" name="TextBox 23">
            <a:extLst>
              <a:ext uri="{FF2B5EF4-FFF2-40B4-BE49-F238E27FC236}">
                <a16:creationId xmlns:a16="http://schemas.microsoft.com/office/drawing/2014/main" id="{C7A9B183-E2F8-45C4-B8F0-D4D795C64591}"/>
              </a:ext>
            </a:extLst>
          </xdr:cNvPr>
          <xdr:cNvSpPr txBox="1"/>
        </xdr:nvSpPr>
        <xdr:spPr>
          <a:xfrm>
            <a:off x="264968" y="198293"/>
            <a:ext cx="806161"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2">
                    <a:lumMod val="60000"/>
                    <a:lumOff val="40000"/>
                  </a:schemeClr>
                </a:solidFill>
              </a:rPr>
              <a:t>30 Days</a:t>
            </a:r>
            <a:endParaRPr lang="en-PK" sz="1400">
              <a:solidFill>
                <a:schemeClr val="tx2">
                  <a:lumMod val="60000"/>
                  <a:lumOff val="40000"/>
                </a:schemeClr>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r Noman Mahmood" refreshedDate="45991.580982523148" createdVersion="7" refreshedVersion="7" minRefreshableVersion="3" recordCount="360" xr:uid="{CBE3FED4-D36D-4BEC-A1E7-51FC269449EC}">
  <cacheSource type="worksheet">
    <worksheetSource ref="A1:M361" sheet="Cleaned Data"/>
  </cacheSource>
  <cacheFields count="13">
    <cacheField name="Date" numFmtId="14">
      <sharedItems containsSemiMixedTypes="0" containsNonDate="0" containsDate="1" containsString="0" minDate="2024-10-01T00:00:00" maxDate="2024-10-31T00:00:00"/>
    </cacheField>
    <cacheField name="Campaign" numFmtId="0">
      <sharedItems count="4">
        <s v="Google_PMax_Apparel"/>
        <s v="Facebook_Retargeting_Cart"/>
        <s v="High_Intent_Search"/>
        <s v="Holiday_Promo_Video"/>
      </sharedItems>
    </cacheField>
    <cacheField name="Device" numFmtId="0">
      <sharedItems count="3">
        <s v="Desktop"/>
        <s v="Mobile"/>
        <s v="Tablet"/>
      </sharedItems>
    </cacheField>
    <cacheField name="Keyword" numFmtId="0">
      <sharedItems/>
    </cacheField>
    <cacheField name="Impressions" numFmtId="0">
      <sharedItems containsSemiMixedTypes="0" containsString="0" containsNumber="1" containsInteger="1" minValue="2021" maxValue="69501"/>
    </cacheField>
    <cacheField name="Clicks" numFmtId="0">
      <sharedItems containsSemiMixedTypes="0" containsString="0" containsNumber="1" containsInteger="1" minValue="50" maxValue="2997"/>
    </cacheField>
    <cacheField name="Cost" numFmtId="0">
      <sharedItems containsSemiMixedTypes="0" containsString="0" containsNumber="1" minValue="52.86" maxValue="4987.78"/>
    </cacheField>
    <cacheField name="Conversions" numFmtId="0">
      <sharedItems containsSemiMixedTypes="0" containsString="0" containsNumber="1" containsInteger="1" minValue="1" maxValue="246"/>
    </cacheField>
    <cacheField name="Revenue" numFmtId="0">
      <sharedItems containsSemiMixedTypes="0" containsString="0" containsNumber="1" minValue="91.61" maxValue="24254.42"/>
    </cacheField>
    <cacheField name="CVR" numFmtId="164">
      <sharedItems containsSemiMixedTypes="0" containsString="0" containsNumber="1" minValue="0.41322314049586778" maxValue="36"/>
    </cacheField>
    <cacheField name="CPA" numFmtId="164">
      <sharedItems containsSemiMixedTypes="0" containsString="0" containsNumber="1" minValue="3.0483333333333333" maxValue="309.33999999999997"/>
    </cacheField>
    <cacheField name="ROAS" numFmtId="164">
      <sharedItems containsSemiMixedTypes="0" containsString="0" containsNumber="1" minValue="1.2107758674900329" maxValue="4.9946294351434268"/>
    </cacheField>
    <cacheField name="Value Per Conversion" numFmtId="164">
      <sharedItems containsSemiMixedTypes="0" containsString="0" containsNumber="1" minValue="5.0894444444444442" maxValue="946.58"/>
    </cacheField>
  </cacheFields>
  <extLst>
    <ext xmlns:x14="http://schemas.microsoft.com/office/spreadsheetml/2009/9/main" uri="{725AE2AE-9491-48be-B2B4-4EB974FC3084}">
      <x14:pivotCacheDefinition pivotCacheId="2660170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d v="2024-10-01T00:00:00"/>
    <x v="0"/>
    <x v="0"/>
    <s v="kids educational toys sale"/>
    <n v="14176"/>
    <n v="342"/>
    <n v="669.91"/>
    <n v="60"/>
    <n v="3278.77"/>
    <n v="17.543859649122805"/>
    <n v="11.165166666666666"/>
    <n v="4.8943440163604066"/>
    <n v="54.646166666666666"/>
  </r>
  <r>
    <d v="2024-10-01T00:00:00"/>
    <x v="0"/>
    <x v="1"/>
    <s v="buy summer dress sale"/>
    <n v="58449"/>
    <n v="1430"/>
    <n v="3728.27"/>
    <n v="210"/>
    <n v="5930.25"/>
    <n v="14.685314685314685"/>
    <n v="17.753666666666668"/>
    <n v="1.590617095864838"/>
    <n v="28.239285714285714"/>
  </r>
  <r>
    <d v="2024-10-01T00:00:00"/>
    <x v="0"/>
    <x v="2"/>
    <s v="kids educational toys sale"/>
    <n v="7084"/>
    <n v="241"/>
    <n v="104.09"/>
    <n v="8"/>
    <n v="466.9"/>
    <n v="3.3195020746887969"/>
    <n v="13.01125"/>
    <n v="4.4855413584398116"/>
    <n v="58.362499999999997"/>
  </r>
  <r>
    <d v="2024-10-01T00:00:00"/>
    <x v="1"/>
    <x v="0"/>
    <s v="discount leather backpack"/>
    <n v="23510"/>
    <n v="325"/>
    <n v="515.23"/>
    <n v="31"/>
    <n v="2150.09"/>
    <n v="9.5384615384615383"/>
    <n v="16.620322580645162"/>
    <n v="4.1730683384119711"/>
    <n v="69.357741935483872"/>
  </r>
  <r>
    <d v="2024-10-01T00:00:00"/>
    <x v="1"/>
    <x v="1"/>
    <s v="handmade ceramic mug buy now"/>
    <n v="51263"/>
    <n v="1546"/>
    <n v="1636.79"/>
    <n v="219"/>
    <n v="2636.48"/>
    <n v="14.165588615782665"/>
    <n v="7.4739269406392692"/>
    <n v="1.6107625290965855"/>
    <n v="12.038721461187215"/>
  </r>
  <r>
    <d v="2024-10-01T00:00:00"/>
    <x v="1"/>
    <x v="2"/>
    <s v="best wireless earbuds deals"/>
    <n v="5855"/>
    <n v="106"/>
    <n v="119.85"/>
    <n v="15"/>
    <n v="303.06"/>
    <n v="14.150943396226415"/>
    <n v="7.9899999999999993"/>
    <n v="2.5286608260325409"/>
    <n v="20.204000000000001"/>
  </r>
  <r>
    <d v="2024-10-01T00:00:00"/>
    <x v="2"/>
    <x v="0"/>
    <s v="wireless headphones discount"/>
    <n v="17304"/>
    <n v="324"/>
    <n v="1092.04"/>
    <n v="35"/>
    <n v="2672.65"/>
    <n v="10.802469135802468"/>
    <n v="31.201142857142855"/>
    <n v="2.4473920369217246"/>
    <n v="76.361428571428576"/>
  </r>
  <r>
    <d v="2024-10-01T00:00:00"/>
    <x v="2"/>
    <x v="1"/>
    <s v="best gaming laptop deals"/>
    <n v="53292"/>
    <n v="1719"/>
    <n v="3565.93"/>
    <n v="142"/>
    <n v="13486.95"/>
    <n v="8.2606166375799894"/>
    <n v="25.112183098591547"/>
    <n v="3.7821690274346387"/>
    <n v="94.978521126760569"/>
  </r>
  <r>
    <d v="2024-10-01T00:00:00"/>
    <x v="2"/>
    <x v="2"/>
    <s v="4k smart TV discount"/>
    <n v="2226"/>
    <n v="79"/>
    <n v="356.96"/>
    <n v="9"/>
    <n v="670.57"/>
    <n v="11.39240506329114"/>
    <n v="39.662222222222219"/>
    <n v="1.8785578216046619"/>
    <n v="74.50777777777779"/>
  </r>
  <r>
    <d v="2024-10-01T00:00:00"/>
    <x v="3"/>
    <x v="0"/>
    <s v="new year party dress"/>
    <n v="11253"/>
    <n v="411"/>
    <n v="1015.89"/>
    <n v="32"/>
    <n v="4031.53"/>
    <n v="7.785888077858881"/>
    <n v="31.7465625"/>
    <n v="3.968470995875538"/>
    <n v="125.98531250000001"/>
  </r>
  <r>
    <d v="2024-10-01T00:00:00"/>
    <x v="3"/>
    <x v="1"/>
    <s v="new year party dress"/>
    <n v="63599"/>
    <n v="2241"/>
    <n v="4936.9399999999996"/>
    <n v="69"/>
    <n v="13150.74"/>
    <n v="3.0789825970548863"/>
    <n v="71.549855072463757"/>
    <n v="2.6637431283345556"/>
    <n v="190.5904347826087"/>
  </r>
  <r>
    <d v="2024-10-01T00:00:00"/>
    <x v="3"/>
    <x v="2"/>
    <s v="christmas decor sale"/>
    <n v="4086"/>
    <n v="61"/>
    <n v="298.07"/>
    <n v="1"/>
    <n v="946.58"/>
    <n v="1.639344262295082"/>
    <n v="298.07"/>
    <n v="3.1756969839299494"/>
    <n v="946.58"/>
  </r>
  <r>
    <d v="2024-10-02T00:00:00"/>
    <x v="0"/>
    <x v="0"/>
    <s v="men leather jacket sale"/>
    <n v="21934"/>
    <n v="741"/>
    <n v="383.97"/>
    <n v="52"/>
    <n v="1804.25"/>
    <n v="7.0175438596491224"/>
    <n v="7.384038461538462"/>
    <n v="4.698934812615569"/>
    <n v="34.697115384615387"/>
  </r>
  <r>
    <d v="2024-10-02T00:00:00"/>
    <x v="0"/>
    <x v="1"/>
    <s v="discount leather backpack"/>
    <n v="43167"/>
    <n v="2474"/>
    <n v="4600.1899999999996"/>
    <n v="169"/>
    <n v="10926.75"/>
    <n v="6.8310428455941787"/>
    <n v="27.220059171597629"/>
    <n v="2.37528232529526"/>
    <n v="64.655325443786978"/>
  </r>
  <r>
    <d v="2024-10-02T00:00:00"/>
    <x v="0"/>
    <x v="2"/>
    <s v="kids educational toys sale"/>
    <n v="4672"/>
    <n v="153"/>
    <n v="294.02"/>
    <n v="18"/>
    <n v="495.04"/>
    <n v="11.76470588235294"/>
    <n v="16.334444444444443"/>
    <n v="1.6836949867355964"/>
    <n v="27.502222222222223"/>
  </r>
  <r>
    <d v="2024-10-02T00:00:00"/>
    <x v="1"/>
    <x v="0"/>
    <s v="handmade ceramic mug buy now"/>
    <n v="22423"/>
    <n v="478"/>
    <n v="1038.6199999999999"/>
    <n v="29"/>
    <n v="2849.02"/>
    <n v="6.0669456066945608"/>
    <n v="35.814482758620684"/>
    <n v="2.7430821667212264"/>
    <n v="98.242068965517234"/>
  </r>
  <r>
    <d v="2024-10-02T00:00:00"/>
    <x v="1"/>
    <x v="1"/>
    <s v="best wireless earbuds deals"/>
    <n v="54914"/>
    <n v="1587"/>
    <n v="1840.73"/>
    <n v="241"/>
    <n v="6265.74"/>
    <n v="15.18588531821046"/>
    <n v="7.6378838174273858"/>
    <n v="3.4039430008746527"/>
    <n v="25.998921161825724"/>
  </r>
  <r>
    <d v="2024-10-02T00:00:00"/>
    <x v="1"/>
    <x v="2"/>
    <s v="organic coffee pods fast shipping"/>
    <n v="5809"/>
    <n v="163"/>
    <n v="204.76"/>
    <n v="7"/>
    <n v="643.45000000000005"/>
    <n v="4.294478527607362"/>
    <n v="29.251428571428569"/>
    <n v="3.1424594647392072"/>
    <n v="91.921428571428578"/>
  </r>
  <r>
    <d v="2024-10-02T00:00:00"/>
    <x v="2"/>
    <x v="0"/>
    <s v="wireless headphones discount"/>
    <n v="12778"/>
    <n v="590"/>
    <n v="918.54"/>
    <n v="50"/>
    <n v="3263.75"/>
    <n v="8.4745762711864394"/>
    <n v="18.370799999999999"/>
    <n v="3.5531931108062795"/>
    <n v="65.275000000000006"/>
  </r>
  <r>
    <d v="2024-10-02T00:00:00"/>
    <x v="2"/>
    <x v="1"/>
    <s v="best gaming laptop deals"/>
    <n v="50392"/>
    <n v="2377"/>
    <n v="2241.6799999999998"/>
    <n v="246"/>
    <n v="4386.28"/>
    <n v="10.349179638199411"/>
    <n v="9.1125203252032509"/>
    <n v="1.956693194389922"/>
    <n v="17.830406504065039"/>
  </r>
  <r>
    <d v="2024-10-02T00:00:00"/>
    <x v="2"/>
    <x v="2"/>
    <s v="best gaming laptop deals"/>
    <n v="2378"/>
    <n v="112"/>
    <n v="394.38"/>
    <n v="20"/>
    <n v="1746.71"/>
    <n v="17.857142857142858"/>
    <n v="19.719000000000001"/>
    <n v="4.4290024849130285"/>
    <n v="87.335499999999996"/>
  </r>
  <r>
    <d v="2024-10-02T00:00:00"/>
    <x v="3"/>
    <x v="0"/>
    <s v="holiday gift ideas under 50"/>
    <n v="24923"/>
    <n v="724"/>
    <n v="1363.36"/>
    <n v="46"/>
    <n v="2643.36"/>
    <n v="6.3535911602209953"/>
    <n v="29.638260869565215"/>
    <n v="1.9388569416735126"/>
    <n v="57.464347826086957"/>
  </r>
  <r>
    <d v="2024-10-02T00:00:00"/>
    <x v="3"/>
    <x v="1"/>
    <s v="winter boots discount"/>
    <n v="67399"/>
    <n v="1818"/>
    <n v="1975.94"/>
    <n v="207"/>
    <n v="7534.19"/>
    <n v="11.386138613861387"/>
    <n v="9.5456038647343"/>
    <n v="3.81296496857192"/>
    <n v="36.397053140096617"/>
  </r>
  <r>
    <d v="2024-10-02T00:00:00"/>
    <x v="3"/>
    <x v="2"/>
    <s v="holiday gift ideas under 50"/>
    <n v="5482"/>
    <n v="106"/>
    <n v="111.56"/>
    <n v="17"/>
    <n v="330.81"/>
    <n v="16.037735849056602"/>
    <n v="6.5623529411764707"/>
    <n v="2.9653101470060954"/>
    <n v="19.459411764705884"/>
  </r>
  <r>
    <d v="2024-10-03T00:00:00"/>
    <x v="0"/>
    <x v="0"/>
    <s v="men leather jacket sale"/>
    <n v="13976"/>
    <n v="767"/>
    <n v="460.01"/>
    <n v="39"/>
    <n v="1718.96"/>
    <n v="5.0847457627118651"/>
    <n v="11.795128205128204"/>
    <n v="3.7367883306884635"/>
    <n v="44.075897435897438"/>
  </r>
  <r>
    <d v="2024-10-03T00:00:00"/>
    <x v="0"/>
    <x v="1"/>
    <s v="discount leather backpack"/>
    <n v="64004"/>
    <n v="2254"/>
    <n v="4260.03"/>
    <n v="169"/>
    <n v="12020.16"/>
    <n v="7.4977817213842055"/>
    <n v="25.207278106508873"/>
    <n v="2.8216139322962515"/>
    <n v="71.125207100591709"/>
  </r>
  <r>
    <d v="2024-10-03T00:00:00"/>
    <x v="0"/>
    <x v="2"/>
    <s v="kids educational toys sale"/>
    <n v="3303"/>
    <n v="240"/>
    <n v="351.52"/>
    <n v="15"/>
    <n v="768.05"/>
    <n v="6.25"/>
    <n v="23.434666666666665"/>
    <n v="2.184939690487028"/>
    <n v="51.203333333333333"/>
  </r>
  <r>
    <d v="2024-10-03T00:00:00"/>
    <x v="1"/>
    <x v="0"/>
    <s v="discount leather backpack"/>
    <n v="19086"/>
    <n v="833"/>
    <n v="881.52"/>
    <n v="25"/>
    <n v="1977.66"/>
    <n v="3.0012004801920766"/>
    <n v="35.260799999999996"/>
    <n v="2.2434658317451674"/>
    <n v="79.106400000000008"/>
  </r>
  <r>
    <d v="2024-10-03T00:00:00"/>
    <x v="1"/>
    <x v="1"/>
    <s v="best wireless earbuds deals"/>
    <n v="53725"/>
    <n v="1480"/>
    <n v="2086.86"/>
    <n v="121"/>
    <n v="9586"/>
    <n v="8.1756756756756754"/>
    <n v="17.246776859504134"/>
    <n v="4.593504116232042"/>
    <n v="79.223140495867767"/>
  </r>
  <r>
    <d v="2024-10-03T00:00:00"/>
    <x v="1"/>
    <x v="2"/>
    <s v="best wireless earbuds deals"/>
    <n v="3133"/>
    <n v="88"/>
    <n v="130.94"/>
    <n v="5"/>
    <n v="508.62"/>
    <n v="5.6818181818181817"/>
    <n v="26.187999999999999"/>
    <n v="3.8843745226821444"/>
    <n v="101.724"/>
  </r>
  <r>
    <d v="2024-10-03T00:00:00"/>
    <x v="2"/>
    <x v="0"/>
    <s v="best gaming laptop deals"/>
    <n v="23594"/>
    <n v="717"/>
    <n v="697.06"/>
    <n v="39"/>
    <n v="1937.79"/>
    <n v="5.439330543933055"/>
    <n v="17.873333333333331"/>
    <n v="2.7799472068401574"/>
    <n v="49.686923076923073"/>
  </r>
  <r>
    <d v="2024-10-03T00:00:00"/>
    <x v="2"/>
    <x v="1"/>
    <s v="wireless headphones discount"/>
    <n v="62534"/>
    <n v="1797"/>
    <n v="4619.3500000000004"/>
    <n v="189"/>
    <n v="22149.95"/>
    <n v="10.51752921535893"/>
    <n v="24.441005291005293"/>
    <n v="4.7950360981523374"/>
    <n v="117.19550264550264"/>
  </r>
  <r>
    <d v="2024-10-03T00:00:00"/>
    <x v="2"/>
    <x v="2"/>
    <s v="best gaming laptop deals"/>
    <n v="6716"/>
    <n v="147"/>
    <n v="216.94"/>
    <n v="12"/>
    <n v="506.5"/>
    <n v="8.1632653061224492"/>
    <n v="18.078333333333333"/>
    <n v="2.3347469346363048"/>
    <n v="42.208333333333336"/>
  </r>
  <r>
    <d v="2024-10-03T00:00:00"/>
    <x v="3"/>
    <x v="0"/>
    <s v="winter boots discount"/>
    <n v="23730"/>
    <n v="851"/>
    <n v="1197.02"/>
    <n v="44"/>
    <n v="5074.7700000000004"/>
    <n v="5.1703877790834314"/>
    <n v="27.204999999999998"/>
    <n v="4.2395030993634197"/>
    <n v="115.33568181818183"/>
  </r>
  <r>
    <d v="2024-10-03T00:00:00"/>
    <x v="3"/>
    <x v="1"/>
    <s v="christmas decor sale"/>
    <n v="66996"/>
    <n v="1449"/>
    <n v="2091.7399999999998"/>
    <n v="164"/>
    <n v="2740.8"/>
    <n v="11.31815044858523"/>
    <n v="12.754512195121951"/>
    <n v="1.3102966907933111"/>
    <n v="16.712195121951222"/>
  </r>
  <r>
    <d v="2024-10-03T00:00:00"/>
    <x v="3"/>
    <x v="2"/>
    <s v="new year party dress"/>
    <n v="7479"/>
    <n v="223"/>
    <n v="329.35"/>
    <n v="6"/>
    <n v="1447.14"/>
    <n v="2.6905829596412558"/>
    <n v="54.891666666666673"/>
    <n v="4.3939274328222258"/>
    <n v="241.19000000000003"/>
  </r>
  <r>
    <d v="2024-10-04T00:00:00"/>
    <x v="0"/>
    <x v="0"/>
    <s v="men leather jacket sale"/>
    <n v="27502"/>
    <n v="327"/>
    <n v="1388.31"/>
    <n v="47"/>
    <n v="4643.47"/>
    <n v="14.37308868501529"/>
    <n v="29.538510638297872"/>
    <n v="3.3446924678205878"/>
    <n v="98.7972340425532"/>
  </r>
  <r>
    <d v="2024-10-04T00:00:00"/>
    <x v="0"/>
    <x v="1"/>
    <s v="buy summer dress sale"/>
    <n v="40501"/>
    <n v="2316"/>
    <n v="2714.45"/>
    <n v="158"/>
    <n v="5131.8599999999997"/>
    <n v="6.8221070811744386"/>
    <n v="17.180063291139238"/>
    <n v="1.8905708338705816"/>
    <n v="32.48012658227848"/>
  </r>
  <r>
    <d v="2024-10-04T00:00:00"/>
    <x v="0"/>
    <x v="2"/>
    <s v="discount leather backpack"/>
    <n v="5105"/>
    <n v="133"/>
    <n v="124.08"/>
    <n v="11"/>
    <n v="308.02999999999997"/>
    <n v="8.2706766917293226"/>
    <n v="11.28"/>
    <n v="2.4825112830431979"/>
    <n v="28.00272727272727"/>
  </r>
  <r>
    <d v="2024-10-04T00:00:00"/>
    <x v="1"/>
    <x v="0"/>
    <s v="handmade ceramic mug buy now"/>
    <n v="19117"/>
    <n v="731"/>
    <n v="602.73"/>
    <n v="15"/>
    <n v="1800.45"/>
    <n v="2.0519835841313268"/>
    <n v="40.182000000000002"/>
    <n v="2.9871584291473794"/>
    <n v="120.03"/>
  </r>
  <r>
    <d v="2024-10-04T00:00:00"/>
    <x v="1"/>
    <x v="1"/>
    <s v="best wireless earbuds deals"/>
    <n v="57935"/>
    <n v="1459"/>
    <n v="3600.58"/>
    <n v="239"/>
    <n v="17418.47"/>
    <n v="16.381082933516105"/>
    <n v="15.065188284518829"/>
    <n v="4.8376844841664406"/>
    <n v="72.880627615062764"/>
  </r>
  <r>
    <d v="2024-10-04T00:00:00"/>
    <x v="1"/>
    <x v="2"/>
    <s v="best wireless earbuds deals"/>
    <n v="2254"/>
    <n v="113"/>
    <n v="119.78"/>
    <n v="1"/>
    <n v="426.55"/>
    <n v="0.88495575221238942"/>
    <n v="119.78"/>
    <n v="3.561112038737686"/>
    <n v="426.55"/>
  </r>
  <r>
    <d v="2024-10-04T00:00:00"/>
    <x v="2"/>
    <x v="0"/>
    <s v="wireless headphones discount"/>
    <n v="14136"/>
    <n v="784"/>
    <n v="1103.3499999999999"/>
    <n v="46"/>
    <n v="5297.71"/>
    <n v="5.8673469387755102"/>
    <n v="23.985869565217389"/>
    <n v="4.8014773190737303"/>
    <n v="115.16760869565218"/>
  </r>
  <r>
    <d v="2024-10-04T00:00:00"/>
    <x v="2"/>
    <x v="1"/>
    <s v="men leather jacket sale"/>
    <n v="51793"/>
    <n v="2570"/>
    <n v="2475.58"/>
    <n v="195"/>
    <n v="8683.2000000000007"/>
    <n v="7.5875486381322954"/>
    <n v="12.695282051282051"/>
    <n v="3.5075416670032884"/>
    <n v="44.529230769230772"/>
  </r>
  <r>
    <d v="2024-10-04T00:00:00"/>
    <x v="2"/>
    <x v="2"/>
    <s v="best gaming laptop deals"/>
    <n v="3341"/>
    <n v="129"/>
    <n v="87.83"/>
    <n v="1"/>
    <n v="415.42"/>
    <n v="0.77519379844961245"/>
    <n v="87.83"/>
    <n v="4.7298189684618013"/>
    <n v="415.42"/>
  </r>
  <r>
    <d v="2024-10-04T00:00:00"/>
    <x v="3"/>
    <x v="0"/>
    <s v="winter boots discount"/>
    <n v="22997"/>
    <n v="503"/>
    <n v="391.2"/>
    <n v="54"/>
    <n v="1704.13"/>
    <n v="10.735586481113319"/>
    <n v="7.2444444444444445"/>
    <n v="4.3561605316973422"/>
    <n v="31.557962962962964"/>
  </r>
  <r>
    <d v="2024-10-04T00:00:00"/>
    <x v="3"/>
    <x v="1"/>
    <s v="christmas decor sale"/>
    <n v="41678"/>
    <n v="2427"/>
    <n v="4089.92"/>
    <n v="215"/>
    <n v="14239.32"/>
    <n v="8.8586732591676967"/>
    <n v="19.022883720930231"/>
    <n v="3.4815644315781236"/>
    <n v="66.229395348837201"/>
  </r>
  <r>
    <d v="2024-10-04T00:00:00"/>
    <x v="3"/>
    <x v="2"/>
    <s v="holiday gift ideas under 50"/>
    <n v="6636"/>
    <n v="250"/>
    <n v="64.37"/>
    <n v="18"/>
    <n v="182.03"/>
    <n v="7.1999999999999993"/>
    <n v="3.5761111111111115"/>
    <n v="2.8278701258350161"/>
    <n v="10.112777777777778"/>
  </r>
  <r>
    <d v="2024-10-05T00:00:00"/>
    <x v="0"/>
    <x v="0"/>
    <s v="discount leather backpack"/>
    <n v="12259"/>
    <n v="818"/>
    <n v="1077.05"/>
    <n v="10"/>
    <n v="4769.59"/>
    <n v="1.2224938875305624"/>
    <n v="107.705"/>
    <n v="4.428383083422311"/>
    <n v="476.959"/>
  </r>
  <r>
    <d v="2024-10-05T00:00:00"/>
    <x v="0"/>
    <x v="1"/>
    <s v="kids educational toys sale"/>
    <n v="41916"/>
    <n v="1887"/>
    <n v="4843.1499999999996"/>
    <n v="202"/>
    <n v="22220.3"/>
    <n v="10.704822469528352"/>
    <n v="23.975990099009898"/>
    <n v="4.5879850923469228"/>
    <n v="110.00148514851485"/>
  </r>
  <r>
    <d v="2024-10-05T00:00:00"/>
    <x v="0"/>
    <x v="2"/>
    <s v="kids educational toys sale"/>
    <n v="7794"/>
    <n v="89"/>
    <n v="202.42"/>
    <n v="17"/>
    <n v="985.54"/>
    <n v="19.101123595505616"/>
    <n v="11.907058823529411"/>
    <n v="4.8687876692026482"/>
    <n v="57.972941176470584"/>
  </r>
  <r>
    <d v="2024-10-05T00:00:00"/>
    <x v="1"/>
    <x v="0"/>
    <s v="organic coffee pods fast shipping"/>
    <n v="27634"/>
    <n v="795"/>
    <n v="857.85"/>
    <n v="56"/>
    <n v="2960.79"/>
    <n v="7.0440251572327046"/>
    <n v="15.31875"/>
    <n v="3.4514075887392899"/>
    <n v="52.871249999999996"/>
  </r>
  <r>
    <d v="2024-10-05T00:00:00"/>
    <x v="1"/>
    <x v="1"/>
    <s v="organic coffee pods fast shipping"/>
    <n v="51088"/>
    <n v="2701"/>
    <n v="4738.49"/>
    <n v="111"/>
    <n v="21561.07"/>
    <n v="4.10958904109589"/>
    <n v="42.689099099099096"/>
    <n v="4.5501984809506828"/>
    <n v="194.24387387387387"/>
  </r>
  <r>
    <d v="2024-10-05T00:00:00"/>
    <x v="1"/>
    <x v="2"/>
    <s v="discount leather backpack"/>
    <n v="5806"/>
    <n v="195"/>
    <n v="263.62"/>
    <n v="13"/>
    <n v="653.33000000000004"/>
    <n v="6.666666666666667"/>
    <n v="20.278461538461539"/>
    <n v="2.4783021015097488"/>
    <n v="50.25615384615385"/>
  </r>
  <r>
    <d v="2024-10-05T00:00:00"/>
    <x v="2"/>
    <x v="0"/>
    <s v="men leather jacket sale"/>
    <n v="20650"/>
    <n v="486"/>
    <n v="885.06"/>
    <n v="32"/>
    <n v="3745.36"/>
    <n v="6.5843621399176957"/>
    <n v="27.658124999999998"/>
    <n v="4.2317582988723936"/>
    <n v="117.0425"/>
  </r>
  <r>
    <d v="2024-10-05T00:00:00"/>
    <x v="2"/>
    <x v="1"/>
    <s v="4k smart TV discount"/>
    <n v="53327"/>
    <n v="2802"/>
    <n v="3384.62"/>
    <n v="110"/>
    <n v="11209.88"/>
    <n v="3.9257673090649536"/>
    <n v="30.769272727272725"/>
    <n v="3.3120054836288859"/>
    <n v="101.90799999999999"/>
  </r>
  <r>
    <d v="2024-10-05T00:00:00"/>
    <x v="2"/>
    <x v="2"/>
    <s v="wireless headphones discount"/>
    <n v="2701"/>
    <n v="111"/>
    <n v="302.02999999999997"/>
    <n v="16"/>
    <n v="999.62"/>
    <n v="14.414414414414415"/>
    <n v="18.876874999999998"/>
    <n v="3.3096712247127771"/>
    <n v="62.47625"/>
  </r>
  <r>
    <d v="2024-10-05T00:00:00"/>
    <x v="3"/>
    <x v="0"/>
    <s v="christmas decor sale"/>
    <n v="25600"/>
    <n v="802"/>
    <n v="837.81"/>
    <n v="11"/>
    <n v="1301.6199999999999"/>
    <n v="1.3715710723192018"/>
    <n v="76.164545454545447"/>
    <n v="1.5535980711617192"/>
    <n v="118.32909090909089"/>
  </r>
  <r>
    <d v="2024-10-05T00:00:00"/>
    <x v="3"/>
    <x v="1"/>
    <s v="christmas decor sale"/>
    <n v="61502"/>
    <n v="2416"/>
    <n v="1973.22"/>
    <n v="209"/>
    <n v="6728.51"/>
    <n v="8.6506622516556284"/>
    <n v="9.4412440191387557"/>
    <n v="3.4099137450461683"/>
    <n v="32.193827751196174"/>
  </r>
  <r>
    <d v="2024-10-05T00:00:00"/>
    <x v="3"/>
    <x v="2"/>
    <s v="winter boots discount"/>
    <n v="6534"/>
    <n v="185"/>
    <n v="170.32"/>
    <n v="18"/>
    <n v="418.48"/>
    <n v="9.7297297297297298"/>
    <n v="9.4622222222222216"/>
    <n v="2.4570220760920622"/>
    <n v="23.248888888888889"/>
  </r>
  <r>
    <d v="2024-10-06T00:00:00"/>
    <x v="0"/>
    <x v="0"/>
    <s v="kids educational toys sale"/>
    <n v="18877"/>
    <n v="613"/>
    <n v="601.67999999999995"/>
    <n v="17"/>
    <n v="2371.15"/>
    <n v="2.7732463295269167"/>
    <n v="35.392941176470586"/>
    <n v="3.9408821965164211"/>
    <n v="139.4794117647059"/>
  </r>
  <r>
    <d v="2024-10-06T00:00:00"/>
    <x v="0"/>
    <x v="1"/>
    <s v="discount leather backpack"/>
    <n v="42835"/>
    <n v="2521"/>
    <n v="3143.46"/>
    <n v="235"/>
    <n v="12016.26"/>
    <n v="9.3216977389924622"/>
    <n v="13.376425531914894"/>
    <n v="3.8226222061041017"/>
    <n v="51.133021276595748"/>
  </r>
  <r>
    <d v="2024-10-06T00:00:00"/>
    <x v="0"/>
    <x v="2"/>
    <s v="men leather jacket sale"/>
    <n v="3772"/>
    <n v="239"/>
    <n v="219.47"/>
    <n v="19"/>
    <n v="1077.8399999999999"/>
    <n v="7.9497907949790791"/>
    <n v="11.551052631578948"/>
    <n v="4.911104023328928"/>
    <n v="56.728421052631575"/>
  </r>
  <r>
    <d v="2024-10-06T00:00:00"/>
    <x v="1"/>
    <x v="0"/>
    <s v="organic coffee pods fast shipping"/>
    <n v="13294"/>
    <n v="498"/>
    <n v="655.5"/>
    <n v="33"/>
    <n v="1233.57"/>
    <n v="6.6265060240963862"/>
    <n v="19.863636363636363"/>
    <n v="1.8818764302059496"/>
    <n v="37.380909090909086"/>
  </r>
  <r>
    <d v="2024-10-06T00:00:00"/>
    <x v="1"/>
    <x v="1"/>
    <s v="best wireless earbuds deals"/>
    <n v="43295"/>
    <n v="1561"/>
    <n v="1182.06"/>
    <n v="53"/>
    <n v="3904.07"/>
    <n v="3.3952594490711085"/>
    <n v="22.303018867924528"/>
    <n v="3.3027680489992051"/>
    <n v="73.661698113207549"/>
  </r>
  <r>
    <d v="2024-10-06T00:00:00"/>
    <x v="1"/>
    <x v="2"/>
    <s v="discount leather backpack"/>
    <n v="7225"/>
    <n v="242"/>
    <n v="221.81"/>
    <n v="1"/>
    <n v="750.04"/>
    <n v="0.41322314049586778"/>
    <n v="221.81"/>
    <n v="3.3814525945629139"/>
    <n v="750.04"/>
  </r>
  <r>
    <d v="2024-10-06T00:00:00"/>
    <x v="2"/>
    <x v="0"/>
    <s v="men leather jacket sale"/>
    <n v="25686"/>
    <n v="751"/>
    <n v="708.85"/>
    <n v="13"/>
    <n v="1530.7"/>
    <n v="1.7310252996005324"/>
    <n v="54.526923076923076"/>
    <n v="2.1594131339493545"/>
    <n v="117.74615384615385"/>
  </r>
  <r>
    <d v="2024-10-06T00:00:00"/>
    <x v="2"/>
    <x v="1"/>
    <s v="men leather jacket sale"/>
    <n v="42476"/>
    <n v="2683"/>
    <n v="1261.3699999999999"/>
    <n v="165"/>
    <n v="1868.74"/>
    <n v="6.1498322773015284"/>
    <n v="7.6446666666666658"/>
    <n v="1.4815161292879966"/>
    <n v="11.32569696969697"/>
  </r>
  <r>
    <d v="2024-10-06T00:00:00"/>
    <x v="2"/>
    <x v="2"/>
    <s v="best gaming laptop deals"/>
    <n v="3242"/>
    <n v="88"/>
    <n v="333.9"/>
    <n v="10"/>
    <n v="508.76"/>
    <n v="11.363636363636363"/>
    <n v="33.39"/>
    <n v="1.5236897274633125"/>
    <n v="50.875999999999998"/>
  </r>
  <r>
    <d v="2024-10-06T00:00:00"/>
    <x v="3"/>
    <x v="0"/>
    <s v="christmas decor sale"/>
    <n v="13881"/>
    <n v="871"/>
    <n v="1217.33"/>
    <n v="48"/>
    <n v="4218.3900000000003"/>
    <n v="5.5109070034443164"/>
    <n v="25.361041666666665"/>
    <n v="3.4652805730574294"/>
    <n v="87.883125000000007"/>
  </r>
  <r>
    <d v="2024-10-06T00:00:00"/>
    <x v="3"/>
    <x v="1"/>
    <s v="christmas decor sale"/>
    <n v="69247"/>
    <n v="1779"/>
    <n v="2802.06"/>
    <n v="153"/>
    <n v="6528.64"/>
    <n v="8.6003372681281629"/>
    <n v="18.314117647058822"/>
    <n v="2.3299429705288253"/>
    <n v="42.670849673202618"/>
  </r>
  <r>
    <d v="2024-10-06T00:00:00"/>
    <x v="3"/>
    <x v="2"/>
    <s v="winter boots discount"/>
    <n v="4501"/>
    <n v="195"/>
    <n v="267.36"/>
    <n v="20"/>
    <n v="1296.27"/>
    <n v="10.256410256410255"/>
    <n v="13.368"/>
    <n v="4.8484066427289045"/>
    <n v="64.813500000000005"/>
  </r>
  <r>
    <d v="2024-10-07T00:00:00"/>
    <x v="0"/>
    <x v="0"/>
    <s v="buy summer dress sale"/>
    <n v="16808"/>
    <n v="516"/>
    <n v="617.58000000000004"/>
    <n v="15"/>
    <n v="1109.68"/>
    <n v="2.9069767441860463"/>
    <n v="41.172000000000004"/>
    <n v="1.796819845202241"/>
    <n v="73.978666666666669"/>
  </r>
  <r>
    <d v="2024-10-07T00:00:00"/>
    <x v="0"/>
    <x v="1"/>
    <s v="men leather jacket sale"/>
    <n v="39919"/>
    <n v="1320"/>
    <n v="1010.7"/>
    <n v="155"/>
    <n v="3860.48"/>
    <n v="11.742424242424242"/>
    <n v="6.5206451612903225"/>
    <n v="3.8196101711684971"/>
    <n v="24.90632258064516"/>
  </r>
  <r>
    <d v="2024-10-07T00:00:00"/>
    <x v="0"/>
    <x v="2"/>
    <s v="kids educational toys sale"/>
    <n v="4385"/>
    <n v="58"/>
    <n v="131.02000000000001"/>
    <n v="10"/>
    <n v="507.22"/>
    <n v="17.241379310344829"/>
    <n v="13.102"/>
    <n v="3.8713173561288352"/>
    <n v="50.722000000000001"/>
  </r>
  <r>
    <d v="2024-10-07T00:00:00"/>
    <x v="1"/>
    <x v="0"/>
    <s v="handmade ceramic mug buy now"/>
    <n v="12332"/>
    <n v="539"/>
    <n v="1408.69"/>
    <n v="60"/>
    <n v="5925.99"/>
    <n v="11.131725417439704"/>
    <n v="23.478166666666667"/>
    <n v="4.2067381751840358"/>
    <n v="98.766499999999994"/>
  </r>
  <r>
    <d v="2024-10-07T00:00:00"/>
    <x v="1"/>
    <x v="1"/>
    <s v="discount leather backpack"/>
    <n v="62861"/>
    <n v="1235"/>
    <n v="3178.25"/>
    <n v="205"/>
    <n v="5613.3"/>
    <n v="16.599190283400812"/>
    <n v="15.503658536585366"/>
    <n v="1.7661606229843467"/>
    <n v="27.381951219512196"/>
  </r>
  <r>
    <d v="2024-10-07T00:00:00"/>
    <x v="1"/>
    <x v="2"/>
    <s v="organic coffee pods fast shipping"/>
    <n v="3165"/>
    <n v="68"/>
    <n v="70.87"/>
    <n v="10"/>
    <n v="245.29"/>
    <n v="14.705882352941178"/>
    <n v="7.0870000000000006"/>
    <n v="3.4611260053619302"/>
    <n v="24.529"/>
  </r>
  <r>
    <d v="2024-10-07T00:00:00"/>
    <x v="2"/>
    <x v="0"/>
    <s v="4k smart TV discount"/>
    <n v="24390"/>
    <n v="427"/>
    <n v="862.44"/>
    <n v="29"/>
    <n v="3328.15"/>
    <n v="6.7915690866510543"/>
    <n v="29.739310344827587"/>
    <n v="3.8589930893743332"/>
    <n v="114.76379310344828"/>
  </r>
  <r>
    <d v="2024-10-07T00:00:00"/>
    <x v="2"/>
    <x v="1"/>
    <s v="4k smart TV discount"/>
    <n v="67798"/>
    <n v="2105"/>
    <n v="2975.18"/>
    <n v="60"/>
    <n v="10331.43"/>
    <n v="2.8503562945368173"/>
    <n v="49.586333333333329"/>
    <n v="3.4725394766030964"/>
    <n v="172.19050000000001"/>
  </r>
  <r>
    <d v="2024-10-07T00:00:00"/>
    <x v="2"/>
    <x v="2"/>
    <s v="men leather jacket sale"/>
    <n v="4640"/>
    <n v="204"/>
    <n v="137.63"/>
    <n v="3"/>
    <n v="284.88"/>
    <n v="1.4705882352941175"/>
    <n v="45.876666666666665"/>
    <n v="2.0698975514059437"/>
    <n v="94.96"/>
  </r>
  <r>
    <d v="2024-10-07T00:00:00"/>
    <x v="3"/>
    <x v="0"/>
    <s v="holiday gift ideas under 50"/>
    <n v="18831"/>
    <n v="890"/>
    <n v="348.28"/>
    <n v="58"/>
    <n v="649.79"/>
    <n v="6.5168539325842696"/>
    <n v="6.0048275862068961"/>
    <n v="1.8657114964970714"/>
    <n v="11.203275862068965"/>
  </r>
  <r>
    <d v="2024-10-07T00:00:00"/>
    <x v="3"/>
    <x v="1"/>
    <s v="winter boots discount"/>
    <n v="53229"/>
    <n v="1371"/>
    <n v="4987.78"/>
    <n v="151"/>
    <n v="18016.77"/>
    <n v="11.013858497447119"/>
    <n v="33.031655629139074"/>
    <n v="3.6121821732313779"/>
    <n v="119.31635761589405"/>
  </r>
  <r>
    <d v="2024-10-07T00:00:00"/>
    <x v="3"/>
    <x v="2"/>
    <s v="winter boots discount"/>
    <n v="2747"/>
    <n v="170"/>
    <n v="171.79"/>
    <n v="11"/>
    <n v="415.74"/>
    <n v="6.4705882352941186"/>
    <n v="15.617272727272727"/>
    <n v="2.4200477326968977"/>
    <n v="37.794545454545457"/>
  </r>
  <r>
    <d v="2024-10-08T00:00:00"/>
    <x v="0"/>
    <x v="0"/>
    <s v="buy summer dress sale"/>
    <n v="15269"/>
    <n v="637"/>
    <n v="793.97"/>
    <n v="41"/>
    <n v="1822.34"/>
    <n v="6.4364207221350087"/>
    <n v="19.365121951219514"/>
    <n v="2.295225260400267"/>
    <n v="44.44731707317073"/>
  </r>
  <r>
    <d v="2024-10-08T00:00:00"/>
    <x v="0"/>
    <x v="1"/>
    <s v="kids educational toys sale"/>
    <n v="37404"/>
    <n v="1931"/>
    <n v="1352.24"/>
    <n v="104"/>
    <n v="3283.83"/>
    <n v="5.3858104609010873"/>
    <n v="13.002307692307692"/>
    <n v="2.4284372596580486"/>
    <n v="31.575288461538459"/>
  </r>
  <r>
    <d v="2024-10-08T00:00:00"/>
    <x v="0"/>
    <x v="2"/>
    <s v="kids educational toys sale"/>
    <n v="6215"/>
    <n v="50"/>
    <n v="280.18"/>
    <n v="18"/>
    <n v="828.07"/>
    <n v="36"/>
    <n v="15.565555555555555"/>
    <n v="2.9554928974230852"/>
    <n v="46.003888888888895"/>
  </r>
  <r>
    <d v="2024-10-08T00:00:00"/>
    <x v="1"/>
    <x v="0"/>
    <s v="best wireless earbuds deals"/>
    <n v="16146"/>
    <n v="830"/>
    <n v="734.14"/>
    <n v="58"/>
    <n v="2271.63"/>
    <n v="6.9879518072289164"/>
    <n v="12.657586206896552"/>
    <n v="3.0942735717982948"/>
    <n v="39.166034482758626"/>
  </r>
  <r>
    <d v="2024-10-08T00:00:00"/>
    <x v="1"/>
    <x v="1"/>
    <s v="handmade ceramic mug buy now"/>
    <n v="38382"/>
    <n v="1416"/>
    <n v="2068.2199999999998"/>
    <n v="73"/>
    <n v="9772.66"/>
    <n v="5.1553672316384178"/>
    <n v="28.331780821917807"/>
    <n v="4.7251549641720905"/>
    <n v="133.87205479452055"/>
  </r>
  <r>
    <d v="2024-10-08T00:00:00"/>
    <x v="1"/>
    <x v="2"/>
    <s v="handmade ceramic mug buy now"/>
    <n v="7720"/>
    <n v="174"/>
    <n v="92.5"/>
    <n v="20"/>
    <n v="391.96"/>
    <n v="11.494252873563218"/>
    <n v="4.625"/>
    <n v="4.2374054054054051"/>
    <n v="19.597999999999999"/>
  </r>
  <r>
    <d v="2024-10-08T00:00:00"/>
    <x v="2"/>
    <x v="0"/>
    <s v="wireless headphones discount"/>
    <n v="20182"/>
    <n v="864"/>
    <n v="316.41000000000003"/>
    <n v="36"/>
    <n v="491.76"/>
    <n v="4.1666666666666661"/>
    <n v="8.7891666666666666"/>
    <n v="1.5541860244619321"/>
    <n v="13.66"/>
  </r>
  <r>
    <d v="2024-10-08T00:00:00"/>
    <x v="2"/>
    <x v="1"/>
    <s v="best gaming laptop deals"/>
    <n v="65241"/>
    <n v="2939"/>
    <n v="1469.86"/>
    <n v="79"/>
    <n v="4547.49"/>
    <n v="2.6879891119428376"/>
    <n v="18.605822784810126"/>
    <n v="3.0938252622698763"/>
    <n v="57.563164556962022"/>
  </r>
  <r>
    <d v="2024-10-08T00:00:00"/>
    <x v="2"/>
    <x v="2"/>
    <s v="4k smart TV discount"/>
    <n v="6168"/>
    <n v="230"/>
    <n v="145.69999999999999"/>
    <n v="16"/>
    <n v="717.56"/>
    <n v="6.9565217391304346"/>
    <n v="9.1062499999999993"/>
    <n v="4.924914207275223"/>
    <n v="44.847499999999997"/>
  </r>
  <r>
    <d v="2024-10-08T00:00:00"/>
    <x v="3"/>
    <x v="0"/>
    <s v="christmas decor sale"/>
    <n v="24967"/>
    <n v="864"/>
    <n v="473.57"/>
    <n v="22"/>
    <n v="2227.25"/>
    <n v="2.5462962962962963"/>
    <n v="21.525909090909092"/>
    <n v="4.7031061933821823"/>
    <n v="101.23863636363636"/>
  </r>
  <r>
    <d v="2024-10-08T00:00:00"/>
    <x v="3"/>
    <x v="1"/>
    <s v="christmas decor sale"/>
    <n v="39575"/>
    <n v="1565"/>
    <n v="4090.7"/>
    <n v="146"/>
    <n v="10192.09"/>
    <n v="9.3290734824281145"/>
    <n v="28.018493150684929"/>
    <n v="2.4915271224973723"/>
    <n v="69.808835616438358"/>
  </r>
  <r>
    <d v="2024-10-08T00:00:00"/>
    <x v="3"/>
    <x v="2"/>
    <s v="new year party dress"/>
    <n v="2021"/>
    <n v="122"/>
    <n v="304.12"/>
    <n v="19"/>
    <n v="1035.1400000000001"/>
    <n v="15.573770491803279"/>
    <n v="16.006315789473685"/>
    <n v="3.4037222149151654"/>
    <n v="54.481052631578955"/>
  </r>
  <r>
    <d v="2024-10-09T00:00:00"/>
    <x v="0"/>
    <x v="0"/>
    <s v="kids educational toys sale"/>
    <n v="14869"/>
    <n v="757"/>
    <n v="946.3"/>
    <n v="32"/>
    <n v="2330.9899999999998"/>
    <n v="4.2272126816380453"/>
    <n v="29.571874999999999"/>
    <n v="2.4632674627496565"/>
    <n v="72.843437499999993"/>
  </r>
  <r>
    <d v="2024-10-09T00:00:00"/>
    <x v="0"/>
    <x v="1"/>
    <s v="kids educational toys sale"/>
    <n v="64841"/>
    <n v="2910"/>
    <n v="2287.11"/>
    <n v="88"/>
    <n v="11268.46"/>
    <n v="3.0240549828178693"/>
    <n v="25.989886363636366"/>
    <n v="4.9269427355920783"/>
    <n v="128.0506818181818"/>
  </r>
  <r>
    <d v="2024-10-09T00:00:00"/>
    <x v="0"/>
    <x v="2"/>
    <s v="men leather jacket sale"/>
    <n v="6684"/>
    <n v="148"/>
    <n v="131.75"/>
    <n v="14"/>
    <n v="179.95"/>
    <n v="9.4594594594594597"/>
    <n v="9.4107142857142865"/>
    <n v="1.3658444022770397"/>
    <n v="12.853571428571428"/>
  </r>
  <r>
    <d v="2024-10-09T00:00:00"/>
    <x v="1"/>
    <x v="0"/>
    <s v="handmade ceramic mug buy now"/>
    <n v="22492"/>
    <n v="695"/>
    <n v="1486.1"/>
    <n v="60"/>
    <n v="6418.23"/>
    <n v="8.6330935251798557"/>
    <n v="24.768333333333331"/>
    <n v="4.318841262364578"/>
    <n v="106.97049999999999"/>
  </r>
  <r>
    <d v="2024-10-09T00:00:00"/>
    <x v="1"/>
    <x v="1"/>
    <s v="discount leather backpack"/>
    <n v="67461"/>
    <n v="2975"/>
    <n v="1148.08"/>
    <n v="168"/>
    <n v="5589.25"/>
    <n v="5.6470588235294121"/>
    <n v="6.8338095238095233"/>
    <n v="4.8683454114695843"/>
    <n v="33.269345238095241"/>
  </r>
  <r>
    <d v="2024-10-09T00:00:00"/>
    <x v="1"/>
    <x v="2"/>
    <s v="organic coffee pods fast shipping"/>
    <n v="2822"/>
    <n v="162"/>
    <n v="84.9"/>
    <n v="15"/>
    <n v="106.83"/>
    <n v="9.2592592592592595"/>
    <n v="5.66"/>
    <n v="1.258303886925795"/>
    <n v="7.1219999999999999"/>
  </r>
  <r>
    <d v="2024-10-09T00:00:00"/>
    <x v="2"/>
    <x v="0"/>
    <s v="wireless headphones discount"/>
    <n v="23434"/>
    <n v="458"/>
    <n v="389.79"/>
    <n v="60"/>
    <n v="1903.33"/>
    <n v="13.100436681222707"/>
    <n v="6.4965000000000002"/>
    <n v="4.8829626208984322"/>
    <n v="31.722166666666666"/>
  </r>
  <r>
    <d v="2024-10-09T00:00:00"/>
    <x v="2"/>
    <x v="1"/>
    <s v="4k smart TV discount"/>
    <n v="61049"/>
    <n v="2330"/>
    <n v="1321.26"/>
    <n v="124"/>
    <n v="5864.94"/>
    <n v="5.3218884120171674"/>
    <n v="10.65532258064516"/>
    <n v="4.4388992325507468"/>
    <n v="47.297903225806451"/>
  </r>
  <r>
    <d v="2024-10-09T00:00:00"/>
    <x v="2"/>
    <x v="2"/>
    <s v="men leather jacket sale"/>
    <n v="4594"/>
    <n v="210"/>
    <n v="301.55"/>
    <n v="16"/>
    <n v="1361.51"/>
    <n v="7.6190476190476195"/>
    <n v="18.846875000000001"/>
    <n v="4.5150389653457133"/>
    <n v="85.094374999999999"/>
  </r>
  <r>
    <d v="2024-10-09T00:00:00"/>
    <x v="3"/>
    <x v="0"/>
    <s v="holiday gift ideas under 50"/>
    <n v="12242"/>
    <n v="540"/>
    <n v="1057.3900000000001"/>
    <n v="28"/>
    <n v="5276.61"/>
    <n v="5.1851851851851851"/>
    <n v="37.763928571428572"/>
    <n v="4.9902212050426042"/>
    <n v="188.45035714285714"/>
  </r>
  <r>
    <d v="2024-10-09T00:00:00"/>
    <x v="3"/>
    <x v="1"/>
    <s v="holiday gift ideas under 50"/>
    <n v="63440"/>
    <n v="1201"/>
    <n v="4041.48"/>
    <n v="220"/>
    <n v="18250.52"/>
    <n v="18.318068276436303"/>
    <n v="18.370363636363635"/>
    <n v="4.5158011421558442"/>
    <n v="82.956909090909093"/>
  </r>
  <r>
    <d v="2024-10-09T00:00:00"/>
    <x v="3"/>
    <x v="2"/>
    <s v="winter boots discount"/>
    <n v="3362"/>
    <n v="227"/>
    <n v="154.81"/>
    <n v="1"/>
    <n v="212.83"/>
    <n v="0.44052863436123352"/>
    <n v="154.81"/>
    <n v="1.3747819908274659"/>
    <n v="212.83"/>
  </r>
  <r>
    <d v="2024-10-10T00:00:00"/>
    <x v="0"/>
    <x v="0"/>
    <s v="buy summer dress sale"/>
    <n v="19613"/>
    <n v="667"/>
    <n v="749.81"/>
    <n v="19"/>
    <n v="1595.56"/>
    <n v="2.8485757121439281"/>
    <n v="39.46368421052631"/>
    <n v="2.1279524146117019"/>
    <n v="83.97684210526316"/>
  </r>
  <r>
    <d v="2024-10-10T00:00:00"/>
    <x v="0"/>
    <x v="1"/>
    <s v="kids educational toys sale"/>
    <n v="46800"/>
    <n v="1348"/>
    <n v="1700.28"/>
    <n v="196"/>
    <n v="7666.89"/>
    <n v="14.540059347181009"/>
    <n v="8.6748979591836726"/>
    <n v="4.5091926035711767"/>
    <n v="39.116785714285719"/>
  </r>
  <r>
    <d v="2024-10-10T00:00:00"/>
    <x v="0"/>
    <x v="2"/>
    <s v="men leather jacket sale"/>
    <n v="6076"/>
    <n v="199"/>
    <n v="100.09"/>
    <n v="15"/>
    <n v="362.73"/>
    <n v="7.5376884422110546"/>
    <n v="6.6726666666666672"/>
    <n v="3.6240383654710762"/>
    <n v="24.182000000000002"/>
  </r>
  <r>
    <d v="2024-10-10T00:00:00"/>
    <x v="1"/>
    <x v="0"/>
    <s v="handmade ceramic mug buy now"/>
    <n v="18366"/>
    <n v="309"/>
    <n v="1378.69"/>
    <n v="39"/>
    <n v="6375.88"/>
    <n v="12.621359223300971"/>
    <n v="35.351025641025643"/>
    <n v="4.62459291066157"/>
    <n v="163.48410256410256"/>
  </r>
  <r>
    <d v="2024-10-10T00:00:00"/>
    <x v="1"/>
    <x v="1"/>
    <s v="discount leather backpack"/>
    <n v="39840"/>
    <n v="1904"/>
    <n v="4780.9399999999996"/>
    <n v="190"/>
    <n v="11172.03"/>
    <n v="9.9789915966386555"/>
    <n v="25.162842105263156"/>
    <n v="2.3367852347027993"/>
    <n v="58.800157894736849"/>
  </r>
  <r>
    <d v="2024-10-10T00:00:00"/>
    <x v="1"/>
    <x v="2"/>
    <s v="handmade ceramic mug buy now"/>
    <n v="7655"/>
    <n v="114"/>
    <n v="209.89"/>
    <n v="10"/>
    <n v="410.76"/>
    <n v="8.7719298245614024"/>
    <n v="20.988999999999997"/>
    <n v="1.9570251083901091"/>
    <n v="41.076000000000001"/>
  </r>
  <r>
    <d v="2024-10-10T00:00:00"/>
    <x v="2"/>
    <x v="0"/>
    <s v="men leather jacket sale"/>
    <n v="25833"/>
    <n v="409"/>
    <n v="584.65"/>
    <n v="46"/>
    <n v="1499.07"/>
    <n v="11.246943765281173"/>
    <n v="12.709782608695651"/>
    <n v="2.5640468656461128"/>
    <n v="32.588478260869564"/>
  </r>
  <r>
    <d v="2024-10-10T00:00:00"/>
    <x v="2"/>
    <x v="1"/>
    <s v="4k smart TV discount"/>
    <n v="54348"/>
    <n v="1044"/>
    <n v="4911.78"/>
    <n v="208"/>
    <n v="13281.76"/>
    <n v="19.923371647509576"/>
    <n v="23.614326923076923"/>
    <n v="2.7040624783683311"/>
    <n v="63.854615384615386"/>
  </r>
  <r>
    <d v="2024-10-10T00:00:00"/>
    <x v="2"/>
    <x v="2"/>
    <s v="best gaming laptop deals"/>
    <n v="6636"/>
    <n v="225"/>
    <n v="322.41000000000003"/>
    <n v="2"/>
    <n v="1502.54"/>
    <n v="0.88888888888888884"/>
    <n v="161.20500000000001"/>
    <n v="4.6603393195000153"/>
    <n v="751.27"/>
  </r>
  <r>
    <d v="2024-10-10T00:00:00"/>
    <x v="3"/>
    <x v="0"/>
    <s v="winter boots discount"/>
    <n v="19378"/>
    <n v="535"/>
    <n v="1028.48"/>
    <n v="32"/>
    <n v="2090.09"/>
    <n v="5.9813084112149539"/>
    <n v="32.14"/>
    <n v="2.0322125855631614"/>
    <n v="65.315312500000005"/>
  </r>
  <r>
    <d v="2024-10-10T00:00:00"/>
    <x v="3"/>
    <x v="1"/>
    <s v="christmas decor sale"/>
    <n v="51425"/>
    <n v="2388"/>
    <n v="4022.31"/>
    <n v="236"/>
    <n v="14902.22"/>
    <n v="9.8827470686767178"/>
    <n v="17.043686440677966"/>
    <n v="3.7048909706114146"/>
    <n v="63.144999999999996"/>
  </r>
  <r>
    <d v="2024-10-10T00:00:00"/>
    <x v="3"/>
    <x v="2"/>
    <s v="christmas decor sale"/>
    <n v="7146"/>
    <n v="74"/>
    <n v="366.19"/>
    <n v="2"/>
    <n v="869.31"/>
    <n v="2.7027027027027026"/>
    <n v="183.095"/>
    <n v="2.3739315655807092"/>
    <n v="434.65499999999997"/>
  </r>
  <r>
    <d v="2024-10-11T00:00:00"/>
    <x v="0"/>
    <x v="0"/>
    <s v="kids educational toys sale"/>
    <n v="11093"/>
    <n v="893"/>
    <n v="737.83"/>
    <n v="18"/>
    <n v="1138.1099999999999"/>
    <n v="2.0156774916013438"/>
    <n v="40.990555555555559"/>
    <n v="1.542509792228562"/>
    <n v="63.228333333333325"/>
  </r>
  <r>
    <d v="2024-10-11T00:00:00"/>
    <x v="0"/>
    <x v="1"/>
    <s v="discount leather backpack"/>
    <n v="56411"/>
    <n v="2530"/>
    <n v="2662.01"/>
    <n v="91"/>
    <n v="4531.29"/>
    <n v="3.5968379446640317"/>
    <n v="29.252857142857145"/>
    <n v="1.7022062276249901"/>
    <n v="49.794395604395604"/>
  </r>
  <r>
    <d v="2024-10-11T00:00:00"/>
    <x v="0"/>
    <x v="2"/>
    <s v="discount leather backpack"/>
    <n v="6348"/>
    <n v="178"/>
    <n v="369.72"/>
    <n v="6"/>
    <n v="804.69"/>
    <n v="3.3707865168539324"/>
    <n v="61.620000000000005"/>
    <n v="2.1764849074975658"/>
    <n v="134.11500000000001"/>
  </r>
  <r>
    <d v="2024-10-11T00:00:00"/>
    <x v="1"/>
    <x v="0"/>
    <s v="handmade ceramic mug buy now"/>
    <n v="19671"/>
    <n v="646"/>
    <n v="1265.08"/>
    <n v="39"/>
    <n v="6147.02"/>
    <n v="6.0371517027863781"/>
    <n v="32.437948717948714"/>
    <n v="4.8589970594745004"/>
    <n v="157.61589743589744"/>
  </r>
  <r>
    <d v="2024-10-11T00:00:00"/>
    <x v="1"/>
    <x v="1"/>
    <s v="discount leather backpack"/>
    <n v="49785"/>
    <n v="2761"/>
    <n v="3705.29"/>
    <n v="212"/>
    <n v="18244.03"/>
    <n v="7.6783773994929376"/>
    <n v="17.477783018867925"/>
    <n v="4.9237792453492171"/>
    <n v="86.056745283018856"/>
  </r>
  <r>
    <d v="2024-10-11T00:00:00"/>
    <x v="1"/>
    <x v="2"/>
    <s v="organic coffee pods fast shipping"/>
    <n v="2739"/>
    <n v="151"/>
    <n v="54.87"/>
    <n v="18"/>
    <n v="91.61"/>
    <n v="11.920529801324504"/>
    <n v="3.0483333333333333"/>
    <n v="1.6695826498997632"/>
    <n v="5.0894444444444442"/>
  </r>
  <r>
    <d v="2024-10-11T00:00:00"/>
    <x v="2"/>
    <x v="0"/>
    <s v="4k smart TV discount"/>
    <n v="18590"/>
    <n v="898"/>
    <n v="757.23"/>
    <n v="50"/>
    <n v="3614.34"/>
    <n v="5.56792873051225"/>
    <n v="15.144600000000001"/>
    <n v="4.7731072461471413"/>
    <n v="72.286799999999999"/>
  </r>
  <r>
    <d v="2024-10-11T00:00:00"/>
    <x v="2"/>
    <x v="1"/>
    <s v="best gaming laptop deals"/>
    <n v="50323"/>
    <n v="1965"/>
    <n v="1100.0999999999999"/>
    <n v="183"/>
    <n v="2691.31"/>
    <n v="9.3129770992366403"/>
    <n v="6.0114754098360654"/>
    <n v="2.4464230524497776"/>
    <n v="14.706612021857923"/>
  </r>
  <r>
    <d v="2024-10-11T00:00:00"/>
    <x v="2"/>
    <x v="2"/>
    <s v="wireless headphones discount"/>
    <n v="7305"/>
    <n v="66"/>
    <n v="272.39"/>
    <n v="15"/>
    <n v="1268.1600000000001"/>
    <n v="22.727272727272727"/>
    <n v="18.159333333333333"/>
    <n v="4.6556775212012198"/>
    <n v="84.544000000000011"/>
  </r>
  <r>
    <d v="2024-10-11T00:00:00"/>
    <x v="3"/>
    <x v="0"/>
    <s v="new year party dress"/>
    <n v="23379"/>
    <n v="419"/>
    <n v="467.73"/>
    <n v="12"/>
    <n v="1102.25"/>
    <n v="2.8639618138424821"/>
    <n v="38.977499999999999"/>
    <n v="2.3565946165522842"/>
    <n v="91.854166666666671"/>
  </r>
  <r>
    <d v="2024-10-11T00:00:00"/>
    <x v="3"/>
    <x v="1"/>
    <s v="winter boots discount"/>
    <n v="42610"/>
    <n v="1199"/>
    <n v="1939.2"/>
    <n v="177"/>
    <n v="3326.74"/>
    <n v="14.762301918265223"/>
    <n v="10.95593220338983"/>
    <n v="1.7155218646864685"/>
    <n v="18.795141242937852"/>
  </r>
  <r>
    <d v="2024-10-11T00:00:00"/>
    <x v="3"/>
    <x v="2"/>
    <s v="winter boots discount"/>
    <n v="5039"/>
    <n v="221"/>
    <n v="382.28"/>
    <n v="18"/>
    <n v="1067.5899999999999"/>
    <n v="8.1447963800904972"/>
    <n v="21.237777777777776"/>
    <n v="2.7926912210944859"/>
    <n v="59.310555555555553"/>
  </r>
  <r>
    <d v="2024-10-12T00:00:00"/>
    <x v="0"/>
    <x v="0"/>
    <s v="men leather jacket sale"/>
    <n v="23594"/>
    <n v="401"/>
    <n v="1300.43"/>
    <n v="49"/>
    <n v="3577.28"/>
    <n v="12.219451371571072"/>
    <n v="26.539387755102041"/>
    <n v="2.7508439516160039"/>
    <n v="73.005714285714291"/>
  </r>
  <r>
    <d v="2024-10-12T00:00:00"/>
    <x v="0"/>
    <x v="1"/>
    <s v="discount leather backpack"/>
    <n v="37144"/>
    <n v="2413"/>
    <n v="2482.12"/>
    <n v="153"/>
    <n v="7172.94"/>
    <n v="6.3406547865727321"/>
    <n v="16.223006535947711"/>
    <n v="2.8898441654714517"/>
    <n v="46.881960784313726"/>
  </r>
  <r>
    <d v="2024-10-12T00:00:00"/>
    <x v="0"/>
    <x v="2"/>
    <s v="men leather jacket sale"/>
    <n v="4971"/>
    <n v="75"/>
    <n v="393.32"/>
    <n v="12"/>
    <n v="1285.75"/>
    <n v="16"/>
    <n v="32.776666666666664"/>
    <n v="3.2689667446354114"/>
    <n v="107.14583333333333"/>
  </r>
  <r>
    <d v="2024-10-12T00:00:00"/>
    <x v="1"/>
    <x v="0"/>
    <s v="organic coffee pods fast shipping"/>
    <n v="11984"/>
    <n v="707"/>
    <n v="631.05999999999995"/>
    <n v="17"/>
    <n v="3033.03"/>
    <n v="2.4045261669024045"/>
    <n v="37.121176470588232"/>
    <n v="4.8062466326498283"/>
    <n v="178.41352941176473"/>
  </r>
  <r>
    <d v="2024-10-12T00:00:00"/>
    <x v="1"/>
    <x v="1"/>
    <s v="handmade ceramic mug buy now"/>
    <n v="41007"/>
    <n v="2357"/>
    <n v="1848.42"/>
    <n v="203"/>
    <n v="6412.45"/>
    <n v="8.612643190496394"/>
    <n v="9.1055172413793102"/>
    <n v="3.4691520325467153"/>
    <n v="31.588423645320198"/>
  </r>
  <r>
    <d v="2024-10-12T00:00:00"/>
    <x v="1"/>
    <x v="2"/>
    <s v="best wireless earbuds deals"/>
    <n v="2414"/>
    <n v="135"/>
    <n v="135.25"/>
    <n v="5"/>
    <n v="566.77"/>
    <n v="3.7037037037037033"/>
    <n v="27.05"/>
    <n v="4.1905360443622923"/>
    <n v="113.354"/>
  </r>
  <r>
    <d v="2024-10-12T00:00:00"/>
    <x v="2"/>
    <x v="0"/>
    <s v="wireless headphones discount"/>
    <n v="12248"/>
    <n v="867"/>
    <n v="548.59"/>
    <n v="23"/>
    <n v="2353.23"/>
    <n v="2.6528258362168398"/>
    <n v="23.851739130434783"/>
    <n v="4.2895969667693539"/>
    <n v="102.31434782608696"/>
  </r>
  <r>
    <d v="2024-10-12T00:00:00"/>
    <x v="2"/>
    <x v="1"/>
    <s v="wireless headphones discount"/>
    <n v="56532"/>
    <n v="2585"/>
    <n v="1590.22"/>
    <n v="192"/>
    <n v="1925.4"/>
    <n v="7.4274661508704058"/>
    <n v="8.2823958333333341"/>
    <n v="1.2107758674900329"/>
    <n v="10.028125000000001"/>
  </r>
  <r>
    <d v="2024-10-12T00:00:00"/>
    <x v="2"/>
    <x v="2"/>
    <s v="wireless headphones discount"/>
    <n v="3064"/>
    <n v="188"/>
    <n v="137.72999999999999"/>
    <n v="6"/>
    <n v="222.81"/>
    <n v="3.1914893617021276"/>
    <n v="22.954999999999998"/>
    <n v="1.6177303419734264"/>
    <n v="37.134999999999998"/>
  </r>
  <r>
    <d v="2024-10-12T00:00:00"/>
    <x v="3"/>
    <x v="0"/>
    <s v="holiday gift ideas under 50"/>
    <n v="14318"/>
    <n v="315"/>
    <n v="729.89"/>
    <n v="60"/>
    <n v="1535.79"/>
    <n v="19.047619047619047"/>
    <n v="12.164833333333332"/>
    <n v="2.1041389798462782"/>
    <n v="25.596499999999999"/>
  </r>
  <r>
    <d v="2024-10-12T00:00:00"/>
    <x v="3"/>
    <x v="1"/>
    <s v="new year party dress"/>
    <n v="36034"/>
    <n v="1356"/>
    <n v="2061.4699999999998"/>
    <n v="72"/>
    <n v="8284.08"/>
    <n v="5.3097345132743365"/>
    <n v="28.631527777777777"/>
    <n v="4.0185304661236891"/>
    <n v="115.05666666666667"/>
  </r>
  <r>
    <d v="2024-10-12T00:00:00"/>
    <x v="3"/>
    <x v="2"/>
    <s v="holiday gift ideas under 50"/>
    <n v="2520"/>
    <n v="171"/>
    <n v="206.9"/>
    <n v="12"/>
    <n v="651.79999999999995"/>
    <n v="7.0175438596491224"/>
    <n v="17.241666666666667"/>
    <n v="3.1503141614306425"/>
    <n v="54.316666666666663"/>
  </r>
  <r>
    <d v="2024-10-13T00:00:00"/>
    <x v="0"/>
    <x v="0"/>
    <s v="buy summer dress sale"/>
    <n v="24811"/>
    <n v="815"/>
    <n v="565.86"/>
    <n v="49"/>
    <n v="772.28"/>
    <n v="6.0122699386503067"/>
    <n v="11.548163265306123"/>
    <n v="1.3647898773548226"/>
    <n v="15.760816326530612"/>
  </r>
  <r>
    <d v="2024-10-13T00:00:00"/>
    <x v="0"/>
    <x v="1"/>
    <s v="discount leather backpack"/>
    <n v="65018"/>
    <n v="2317"/>
    <n v="4856.1000000000004"/>
    <n v="55"/>
    <n v="24254.42"/>
    <n v="2.373759171342253"/>
    <n v="88.292727272727276"/>
    <n v="4.9946294351434268"/>
    <n v="440.98945454545452"/>
  </r>
  <r>
    <d v="2024-10-13T00:00:00"/>
    <x v="0"/>
    <x v="2"/>
    <s v="kids educational toys sale"/>
    <n v="5492"/>
    <n v="225"/>
    <n v="87.79"/>
    <n v="15"/>
    <n v="129.86000000000001"/>
    <n v="6.666666666666667"/>
    <n v="5.8526666666666669"/>
    <n v="1.479211755325208"/>
    <n v="8.6573333333333338"/>
  </r>
  <r>
    <d v="2024-10-13T00:00:00"/>
    <x v="1"/>
    <x v="0"/>
    <s v="best wireless earbuds deals"/>
    <n v="20554"/>
    <n v="451"/>
    <n v="378.82"/>
    <n v="27"/>
    <n v="1353.3"/>
    <n v="5.9866962305986693"/>
    <n v="14.03037037037037"/>
    <n v="3.5724090597117364"/>
    <n v="50.12222222222222"/>
  </r>
  <r>
    <d v="2024-10-13T00:00:00"/>
    <x v="1"/>
    <x v="1"/>
    <s v="organic coffee pods fast shipping"/>
    <n v="59962"/>
    <n v="2223"/>
    <n v="3122.23"/>
    <n v="156"/>
    <n v="9744.77"/>
    <n v="7.0175438596491224"/>
    <n v="20.014294871794871"/>
    <n v="3.1210929367791613"/>
    <n v="62.466474358974359"/>
  </r>
  <r>
    <d v="2024-10-13T00:00:00"/>
    <x v="1"/>
    <x v="2"/>
    <s v="handmade ceramic mug buy now"/>
    <n v="2812"/>
    <n v="229"/>
    <n v="90.04"/>
    <n v="18"/>
    <n v="354.68"/>
    <n v="7.860262008733625"/>
    <n v="5.0022222222222226"/>
    <n v="3.9391381608174143"/>
    <n v="19.704444444444444"/>
  </r>
  <r>
    <d v="2024-10-13T00:00:00"/>
    <x v="2"/>
    <x v="0"/>
    <s v="wireless headphones discount"/>
    <n v="24092"/>
    <n v="762"/>
    <n v="1365.71"/>
    <n v="36"/>
    <n v="3397.8"/>
    <n v="4.7244094488188972"/>
    <n v="37.936388888888892"/>
    <n v="2.4879366776255574"/>
    <n v="94.38333333333334"/>
  </r>
  <r>
    <d v="2024-10-13T00:00:00"/>
    <x v="2"/>
    <x v="1"/>
    <s v="men leather jacket sale"/>
    <n v="61131"/>
    <n v="1851"/>
    <n v="3918.45"/>
    <n v="120"/>
    <n v="11056.7"/>
    <n v="6.4829821717990272"/>
    <n v="32.653749999999995"/>
    <n v="2.8217024588804249"/>
    <n v="92.139166666666668"/>
  </r>
  <r>
    <d v="2024-10-13T00:00:00"/>
    <x v="2"/>
    <x v="2"/>
    <s v="4k smart TV discount"/>
    <n v="5066"/>
    <n v="89"/>
    <n v="290.39"/>
    <n v="16"/>
    <n v="422.55"/>
    <n v="17.977528089887642"/>
    <n v="18.149374999999999"/>
    <n v="1.4551120906367301"/>
    <n v="26.409375000000001"/>
  </r>
  <r>
    <d v="2024-10-13T00:00:00"/>
    <x v="3"/>
    <x v="0"/>
    <s v="holiday gift ideas under 50"/>
    <n v="13054"/>
    <n v="742"/>
    <n v="415.88"/>
    <n v="57"/>
    <n v="1087.97"/>
    <n v="7.6819407008086262"/>
    <n v="7.2961403508771925"/>
    <n v="2.6160671347504088"/>
    <n v="19.087192982456141"/>
  </r>
  <r>
    <d v="2024-10-13T00:00:00"/>
    <x v="3"/>
    <x v="1"/>
    <s v="christmas decor sale"/>
    <n v="38930"/>
    <n v="2201"/>
    <n v="4826.5"/>
    <n v="183"/>
    <n v="11837.74"/>
    <n v="8.314402544298046"/>
    <n v="26.374316939890711"/>
    <n v="2.4526551331192374"/>
    <n v="64.687103825136617"/>
  </r>
  <r>
    <d v="2024-10-13T00:00:00"/>
    <x v="3"/>
    <x v="2"/>
    <s v="holiday gift ideas under 50"/>
    <n v="5365"/>
    <n v="140"/>
    <n v="355.76"/>
    <n v="14"/>
    <n v="1600.48"/>
    <n v="10"/>
    <n v="25.411428571428569"/>
    <n v="4.4987632111535865"/>
    <n v="114.32000000000001"/>
  </r>
  <r>
    <d v="2024-10-14T00:00:00"/>
    <x v="0"/>
    <x v="0"/>
    <s v="buy summer dress sale"/>
    <n v="19425"/>
    <n v="619"/>
    <n v="721.98"/>
    <n v="46"/>
    <n v="2258.4699999999998"/>
    <n v="7.4313408723747978"/>
    <n v="15.695217391304348"/>
    <n v="3.1281614449153712"/>
    <n v="49.097173913043477"/>
  </r>
  <r>
    <d v="2024-10-14T00:00:00"/>
    <x v="0"/>
    <x v="1"/>
    <s v="men leather jacket sale"/>
    <n v="66600"/>
    <n v="1459"/>
    <n v="4389.1000000000004"/>
    <n v="129"/>
    <n v="19366.55"/>
    <n v="8.8416723783413289"/>
    <n v="34.024031007751944"/>
    <n v="4.4124194026110128"/>
    <n v="150.12829457364342"/>
  </r>
  <r>
    <d v="2024-10-14T00:00:00"/>
    <x v="0"/>
    <x v="2"/>
    <s v="discount leather backpack"/>
    <n v="2941"/>
    <n v="245"/>
    <n v="147.5"/>
    <n v="8"/>
    <n v="629.45000000000005"/>
    <n v="3.2653061224489797"/>
    <n v="18.4375"/>
    <n v="4.2674576271186444"/>
    <n v="78.681250000000006"/>
  </r>
  <r>
    <d v="2024-10-14T00:00:00"/>
    <x v="1"/>
    <x v="0"/>
    <s v="best wireless earbuds deals"/>
    <n v="29955"/>
    <n v="573"/>
    <n v="334.74"/>
    <n v="27"/>
    <n v="1295.53"/>
    <n v="4.7120418848167542"/>
    <n v="12.397777777777778"/>
    <n v="3.8702575132938994"/>
    <n v="47.982592592592589"/>
  </r>
  <r>
    <d v="2024-10-14T00:00:00"/>
    <x v="1"/>
    <x v="1"/>
    <s v="organic coffee pods fast shipping"/>
    <n v="57270"/>
    <n v="1718"/>
    <n v="1024.42"/>
    <n v="76"/>
    <n v="3433.88"/>
    <n v="4.4237485448195581"/>
    <n v="13.479210526315791"/>
    <n v="3.3520235840768433"/>
    <n v="45.182631578947372"/>
  </r>
  <r>
    <d v="2024-10-14T00:00:00"/>
    <x v="1"/>
    <x v="2"/>
    <s v="handmade ceramic mug buy now"/>
    <n v="2570"/>
    <n v="86"/>
    <n v="309.33999999999997"/>
    <n v="1"/>
    <n v="479.07"/>
    <n v="1.1627906976744187"/>
    <n v="309.33999999999997"/>
    <n v="1.5486842955970777"/>
    <n v="479.07"/>
  </r>
  <r>
    <d v="2024-10-14T00:00:00"/>
    <x v="2"/>
    <x v="0"/>
    <s v="wireless headphones discount"/>
    <n v="22327"/>
    <n v="729"/>
    <n v="844.37"/>
    <n v="20"/>
    <n v="2200.6"/>
    <n v="2.7434842249657065"/>
    <n v="42.218499999999999"/>
    <n v="2.6062034416191953"/>
    <n v="110.03"/>
  </r>
  <r>
    <d v="2024-10-14T00:00:00"/>
    <x v="2"/>
    <x v="1"/>
    <s v="4k smart TV discount"/>
    <n v="40567"/>
    <n v="2809"/>
    <n v="1210.44"/>
    <n v="80"/>
    <n v="4922.6899999999996"/>
    <n v="2.8479886080455681"/>
    <n v="15.130500000000001"/>
    <n v="4.0668599847989153"/>
    <n v="61.533624999999994"/>
  </r>
  <r>
    <d v="2024-10-14T00:00:00"/>
    <x v="2"/>
    <x v="2"/>
    <s v="best gaming laptop deals"/>
    <n v="7521"/>
    <n v="70"/>
    <n v="145.24"/>
    <n v="14"/>
    <n v="442.33"/>
    <n v="20"/>
    <n v="10.374285714285715"/>
    <n v="3.0455108785458549"/>
    <n v="31.594999999999999"/>
  </r>
  <r>
    <d v="2024-10-14T00:00:00"/>
    <x v="3"/>
    <x v="0"/>
    <s v="winter boots discount"/>
    <n v="23571"/>
    <n v="579"/>
    <n v="558.67999999999995"/>
    <n v="42"/>
    <n v="912.05"/>
    <n v="7.2538860103626934"/>
    <n v="13.30190476190476"/>
    <n v="1.6325087706737309"/>
    <n v="21.715476190476188"/>
  </r>
  <r>
    <d v="2024-10-14T00:00:00"/>
    <x v="3"/>
    <x v="1"/>
    <s v="winter boots discount"/>
    <n v="42267"/>
    <n v="1580"/>
    <n v="3712.87"/>
    <n v="191"/>
    <n v="11321.3"/>
    <n v="12.088607594936709"/>
    <n v="19.439109947643978"/>
    <n v="3.0492045237242347"/>
    <n v="59.273821989528791"/>
  </r>
  <r>
    <d v="2024-10-14T00:00:00"/>
    <x v="3"/>
    <x v="2"/>
    <s v="new year party dress"/>
    <n v="2372"/>
    <n v="106"/>
    <n v="188.34"/>
    <n v="20"/>
    <n v="265.22000000000003"/>
    <n v="18.867924528301888"/>
    <n v="9.4169999999999998"/>
    <n v="1.408197939895933"/>
    <n v="13.261000000000001"/>
  </r>
  <r>
    <d v="2024-10-15T00:00:00"/>
    <x v="0"/>
    <x v="0"/>
    <s v="men leather jacket sale"/>
    <n v="19876"/>
    <n v="516"/>
    <n v="1220.82"/>
    <n v="58"/>
    <n v="2650.37"/>
    <n v="11.24031007751938"/>
    <n v="21.04862068965517"/>
    <n v="2.1709752461460332"/>
    <n v="45.69603448275862"/>
  </r>
  <r>
    <d v="2024-10-15T00:00:00"/>
    <x v="0"/>
    <x v="1"/>
    <s v="discount leather backpack"/>
    <n v="42863"/>
    <n v="1015"/>
    <n v="2989.54"/>
    <n v="150"/>
    <n v="5583.39"/>
    <n v="14.77832512315271"/>
    <n v="19.930266666666668"/>
    <n v="1.8676418445647158"/>
    <n v="37.2226"/>
  </r>
  <r>
    <d v="2024-10-15T00:00:00"/>
    <x v="0"/>
    <x v="2"/>
    <s v="kids educational toys sale"/>
    <n v="6362"/>
    <n v="230"/>
    <n v="130.54"/>
    <n v="18"/>
    <n v="570.04"/>
    <n v="7.8260869565217401"/>
    <n v="7.2522222222222217"/>
    <n v="4.366784127470507"/>
    <n v="31.668888888888887"/>
  </r>
  <r>
    <d v="2024-10-15T00:00:00"/>
    <x v="1"/>
    <x v="0"/>
    <s v="organic coffee pods fast shipping"/>
    <n v="12361"/>
    <n v="706"/>
    <n v="1334.12"/>
    <n v="12"/>
    <n v="3812.43"/>
    <n v="1.6997167138810201"/>
    <n v="111.17666666666666"/>
    <n v="2.857636494468264"/>
    <n v="317.70249999999999"/>
  </r>
  <r>
    <d v="2024-10-15T00:00:00"/>
    <x v="1"/>
    <x v="1"/>
    <s v="handmade ceramic mug buy now"/>
    <n v="40102"/>
    <n v="2765"/>
    <n v="2252.2399999999998"/>
    <n v="149"/>
    <n v="7610.14"/>
    <n v="5.3887884267631101"/>
    <n v="15.115704697986576"/>
    <n v="3.3789205413277452"/>
    <n v="51.074765100671144"/>
  </r>
  <r>
    <d v="2024-10-15T00:00:00"/>
    <x v="1"/>
    <x v="2"/>
    <s v="handmade ceramic mug buy now"/>
    <n v="4371"/>
    <n v="79"/>
    <n v="191.76"/>
    <n v="11"/>
    <n v="355.35"/>
    <n v="13.924050632911392"/>
    <n v="17.432727272727274"/>
    <n v="1.8530976220275346"/>
    <n v="32.304545454545455"/>
  </r>
  <r>
    <d v="2024-10-15T00:00:00"/>
    <x v="2"/>
    <x v="0"/>
    <s v="men leather jacket sale"/>
    <n v="21857"/>
    <n v="390"/>
    <n v="824.05"/>
    <n v="16"/>
    <n v="1750.78"/>
    <n v="4.1025641025641022"/>
    <n v="51.503124999999997"/>
    <n v="2.1246040895576725"/>
    <n v="109.42375"/>
  </r>
  <r>
    <d v="2024-10-15T00:00:00"/>
    <x v="2"/>
    <x v="1"/>
    <s v="men leather jacket sale"/>
    <n v="69338"/>
    <n v="1161"/>
    <n v="2583.0700000000002"/>
    <n v="119"/>
    <n v="10420.26"/>
    <n v="10.249784668389319"/>
    <n v="21.706470588235295"/>
    <n v="4.0340602461412196"/>
    <n v="87.565210084033609"/>
  </r>
  <r>
    <d v="2024-10-15T00:00:00"/>
    <x v="2"/>
    <x v="2"/>
    <s v="wireless headphones discount"/>
    <n v="4728"/>
    <n v="249"/>
    <n v="108.85"/>
    <n v="17"/>
    <n v="392.54"/>
    <n v="6.8273092369477917"/>
    <n v="6.4029411764705877"/>
    <n v="3.6062471290767113"/>
    <n v="23.090588235294121"/>
  </r>
  <r>
    <d v="2024-10-15T00:00:00"/>
    <x v="3"/>
    <x v="0"/>
    <s v="christmas decor sale"/>
    <n v="21448"/>
    <n v="659"/>
    <n v="1172.8499999999999"/>
    <n v="51"/>
    <n v="5039.8999999999996"/>
    <n v="7.7389984825493165"/>
    <n v="22.997058823529411"/>
    <n v="4.2971394466470567"/>
    <n v="98.821568627450972"/>
  </r>
  <r>
    <d v="2024-10-15T00:00:00"/>
    <x v="3"/>
    <x v="1"/>
    <s v="christmas decor sale"/>
    <n v="41737"/>
    <n v="1299"/>
    <n v="2023.87"/>
    <n v="84"/>
    <n v="7061.52"/>
    <n v="6.4665127020785222"/>
    <n v="24.093690476190474"/>
    <n v="3.4891173840217014"/>
    <n v="84.065714285714293"/>
  </r>
  <r>
    <d v="2024-10-15T00:00:00"/>
    <x v="3"/>
    <x v="2"/>
    <s v="holiday gift ideas under 50"/>
    <n v="3451"/>
    <n v="247"/>
    <n v="269.77999999999997"/>
    <n v="15"/>
    <n v="1097.17"/>
    <n v="6.0728744939271255"/>
    <n v="17.985333333333333"/>
    <n v="4.0669063681518285"/>
    <n v="73.144666666666666"/>
  </r>
  <r>
    <d v="2024-10-16T00:00:00"/>
    <x v="0"/>
    <x v="0"/>
    <s v="kids educational toys sale"/>
    <n v="28497"/>
    <n v="630"/>
    <n v="1337.1"/>
    <n v="50"/>
    <n v="3210.82"/>
    <n v="7.9365079365079358"/>
    <n v="26.741999999999997"/>
    <n v="2.4013312392491217"/>
    <n v="64.216400000000007"/>
  </r>
  <r>
    <d v="2024-10-16T00:00:00"/>
    <x v="0"/>
    <x v="1"/>
    <s v="kids educational toys sale"/>
    <n v="39475"/>
    <n v="1960"/>
    <n v="2768.83"/>
    <n v="117"/>
    <n v="11701.22"/>
    <n v="5.9693877551020407"/>
    <n v="23.665213675213675"/>
    <n v="4.2260521592152642"/>
    <n v="100.01042735042735"/>
  </r>
  <r>
    <d v="2024-10-16T00:00:00"/>
    <x v="0"/>
    <x v="2"/>
    <s v="buy summer dress sale"/>
    <n v="4883"/>
    <n v="179"/>
    <n v="75.97"/>
    <n v="15"/>
    <n v="221.63"/>
    <n v="8.3798882681564244"/>
    <n v="5.0646666666666667"/>
    <n v="2.9173357904435959"/>
    <n v="14.775333333333332"/>
  </r>
  <r>
    <d v="2024-10-16T00:00:00"/>
    <x v="1"/>
    <x v="0"/>
    <s v="best wireless earbuds deals"/>
    <n v="22082"/>
    <n v="593"/>
    <n v="392.08"/>
    <n v="15"/>
    <n v="1386.8"/>
    <n v="2.5295109612141653"/>
    <n v="26.138666666666666"/>
    <n v="3.5370332585186697"/>
    <n v="92.453333333333333"/>
  </r>
  <r>
    <d v="2024-10-16T00:00:00"/>
    <x v="1"/>
    <x v="1"/>
    <s v="handmade ceramic mug buy now"/>
    <n v="65324"/>
    <n v="2188"/>
    <n v="3217.27"/>
    <n v="242"/>
    <n v="12894.5"/>
    <n v="11.060329067641682"/>
    <n v="13.294504132231404"/>
    <n v="4.0079011087039635"/>
    <n v="53.283057851239668"/>
  </r>
  <r>
    <d v="2024-10-16T00:00:00"/>
    <x v="1"/>
    <x v="2"/>
    <s v="best wireless earbuds deals"/>
    <n v="5684"/>
    <n v="196"/>
    <n v="278.14"/>
    <n v="11"/>
    <n v="973.22"/>
    <n v="5.6122448979591839"/>
    <n v="25.285454545454545"/>
    <n v="3.4990292658373483"/>
    <n v="88.474545454545463"/>
  </r>
  <r>
    <d v="2024-10-16T00:00:00"/>
    <x v="2"/>
    <x v="0"/>
    <s v="wireless headphones discount"/>
    <n v="12027"/>
    <n v="761"/>
    <n v="424.2"/>
    <n v="31"/>
    <n v="2092.61"/>
    <n v="4.0735873850197102"/>
    <n v="13.683870967741935"/>
    <n v="4.9330740216878839"/>
    <n v="67.503548387096785"/>
  </r>
  <r>
    <d v="2024-10-16T00:00:00"/>
    <x v="2"/>
    <x v="1"/>
    <s v="best gaming laptop deals"/>
    <n v="68066"/>
    <n v="2323"/>
    <n v="1690.24"/>
    <n v="103"/>
    <n v="6573.28"/>
    <n v="4.4339216530348686"/>
    <n v="16.410097087378642"/>
    <n v="3.8889625141991666"/>
    <n v="63.818252427184461"/>
  </r>
  <r>
    <d v="2024-10-16T00:00:00"/>
    <x v="2"/>
    <x v="2"/>
    <s v="men leather jacket sale"/>
    <n v="6293"/>
    <n v="183"/>
    <n v="263.43"/>
    <n v="12"/>
    <n v="689.35"/>
    <n v="6.557377049180328"/>
    <n v="21.952500000000001"/>
    <n v="2.6168242037732985"/>
    <n v="57.445833333333333"/>
  </r>
  <r>
    <d v="2024-10-16T00:00:00"/>
    <x v="3"/>
    <x v="0"/>
    <s v="new year party dress"/>
    <n v="22694"/>
    <n v="718"/>
    <n v="1229.3599999999999"/>
    <n v="53"/>
    <n v="4268.3"/>
    <n v="7.3816155988857934"/>
    <n v="23.195471698113206"/>
    <n v="3.4719691546821116"/>
    <n v="80.533962264150944"/>
  </r>
  <r>
    <d v="2024-10-16T00:00:00"/>
    <x v="3"/>
    <x v="1"/>
    <s v="new year party dress"/>
    <n v="39319"/>
    <n v="1675"/>
    <n v="1378.02"/>
    <n v="213"/>
    <n v="3677.86"/>
    <n v="12.716417910447761"/>
    <n v="6.4695774647887321"/>
    <n v="2.6689452983265847"/>
    <n v="17.266948356807511"/>
  </r>
  <r>
    <d v="2024-10-16T00:00:00"/>
    <x v="3"/>
    <x v="2"/>
    <s v="new year party dress"/>
    <n v="7928"/>
    <n v="218"/>
    <n v="387.54"/>
    <n v="20"/>
    <n v="1751.09"/>
    <n v="9.1743119266055047"/>
    <n v="19.377000000000002"/>
    <n v="4.5184755122051916"/>
    <n v="87.55449999999999"/>
  </r>
  <r>
    <d v="2024-10-17T00:00:00"/>
    <x v="0"/>
    <x v="0"/>
    <s v="discount leather backpack"/>
    <n v="12670"/>
    <n v="896"/>
    <n v="1096.33"/>
    <n v="32"/>
    <n v="2608.04"/>
    <n v="3.5714285714285712"/>
    <n v="34.260312499999998"/>
    <n v="2.3788822708491058"/>
    <n v="81.501249999999999"/>
  </r>
  <r>
    <d v="2024-10-17T00:00:00"/>
    <x v="0"/>
    <x v="1"/>
    <s v="kids educational toys sale"/>
    <n v="43450"/>
    <n v="2218"/>
    <n v="3835.34"/>
    <n v="61"/>
    <n v="9114.34"/>
    <n v="2.7502254283137963"/>
    <n v="62.874426229508202"/>
    <n v="2.3764099141145243"/>
    <n v="149.41540983606558"/>
  </r>
  <r>
    <d v="2024-10-17T00:00:00"/>
    <x v="0"/>
    <x v="2"/>
    <s v="kids educational toys sale"/>
    <n v="7271"/>
    <n v="134"/>
    <n v="334.61"/>
    <n v="17"/>
    <n v="520.36"/>
    <n v="12.686567164179104"/>
    <n v="19.682941176470589"/>
    <n v="1.5551238755566181"/>
    <n v="30.609411764705882"/>
  </r>
  <r>
    <d v="2024-10-17T00:00:00"/>
    <x v="1"/>
    <x v="0"/>
    <s v="handmade ceramic mug buy now"/>
    <n v="26662"/>
    <n v="670"/>
    <n v="321.88"/>
    <n v="29"/>
    <n v="606.74"/>
    <n v="4.3283582089552244"/>
    <n v="11.099310344827586"/>
    <n v="1.8849881943581459"/>
    <n v="20.922068965517241"/>
  </r>
  <r>
    <d v="2024-10-17T00:00:00"/>
    <x v="1"/>
    <x v="1"/>
    <s v="discount leather backpack"/>
    <n v="57395"/>
    <n v="2940"/>
    <n v="4064.62"/>
    <n v="89"/>
    <n v="8376.6299999999992"/>
    <n v="3.0272108843537415"/>
    <n v="45.669887640449438"/>
    <n v="2.060864238231372"/>
    <n v="94.119438202247181"/>
  </r>
  <r>
    <d v="2024-10-17T00:00:00"/>
    <x v="1"/>
    <x v="2"/>
    <s v="discount leather backpack"/>
    <n v="3269"/>
    <n v="69"/>
    <n v="153.53"/>
    <n v="4"/>
    <n v="480.43"/>
    <n v="5.7971014492753623"/>
    <n v="38.3825"/>
    <n v="3.1292255585227644"/>
    <n v="120.1075"/>
  </r>
  <r>
    <d v="2024-10-17T00:00:00"/>
    <x v="2"/>
    <x v="0"/>
    <s v="best gaming laptop deals"/>
    <n v="21035"/>
    <n v="434"/>
    <n v="1016.7"/>
    <n v="19"/>
    <n v="1846.88"/>
    <n v="4.3778801843317972"/>
    <n v="53.510526315789477"/>
    <n v="1.8165437198780368"/>
    <n v="97.204210526315791"/>
  </r>
  <r>
    <d v="2024-10-17T00:00:00"/>
    <x v="2"/>
    <x v="1"/>
    <s v="wireless headphones discount"/>
    <n v="63683"/>
    <n v="1089"/>
    <n v="2643.43"/>
    <n v="213"/>
    <n v="10400.379999999999"/>
    <n v="19.55922865013774"/>
    <n v="12.410469483568074"/>
    <n v="3.9344261054765965"/>
    <n v="48.828075117370886"/>
  </r>
  <r>
    <d v="2024-10-17T00:00:00"/>
    <x v="2"/>
    <x v="2"/>
    <s v="men leather jacket sale"/>
    <n v="7001"/>
    <n v="122"/>
    <n v="313.33999999999997"/>
    <n v="15"/>
    <n v="654.63"/>
    <n v="12.295081967213115"/>
    <n v="20.889333333333333"/>
    <n v="2.0892002297823451"/>
    <n v="43.642000000000003"/>
  </r>
  <r>
    <d v="2024-10-17T00:00:00"/>
    <x v="3"/>
    <x v="0"/>
    <s v="christmas decor sale"/>
    <n v="20140"/>
    <n v="780"/>
    <n v="1384.77"/>
    <n v="22"/>
    <n v="3597.35"/>
    <n v="2.8205128205128207"/>
    <n v="62.94409090909091"/>
    <n v="2.5977960238884434"/>
    <n v="163.51590909090908"/>
  </r>
  <r>
    <d v="2024-10-17T00:00:00"/>
    <x v="3"/>
    <x v="1"/>
    <s v="winter boots discount"/>
    <n v="65256"/>
    <n v="2575"/>
    <n v="2127.09"/>
    <n v="137"/>
    <n v="6617.47"/>
    <n v="5.3203883495145634"/>
    <n v="15.526204379562046"/>
    <n v="3.1110437264055588"/>
    <n v="48.302700729927011"/>
  </r>
  <r>
    <d v="2024-10-17T00:00:00"/>
    <x v="3"/>
    <x v="2"/>
    <s v="winter boots discount"/>
    <n v="3327"/>
    <n v="101"/>
    <n v="330.44"/>
    <n v="5"/>
    <n v="1492.73"/>
    <n v="4.9504950495049505"/>
    <n v="66.087999999999994"/>
    <n v="4.5174010410361944"/>
    <n v="298.54599999999999"/>
  </r>
  <r>
    <d v="2024-10-18T00:00:00"/>
    <x v="0"/>
    <x v="0"/>
    <s v="buy summer dress sale"/>
    <n v="25747"/>
    <n v="680"/>
    <n v="965.45"/>
    <n v="16"/>
    <n v="3768.46"/>
    <n v="2.3529411764705883"/>
    <n v="60.340625000000003"/>
    <n v="3.9033196954787921"/>
    <n v="235.52875"/>
  </r>
  <r>
    <d v="2024-10-18T00:00:00"/>
    <x v="0"/>
    <x v="1"/>
    <s v="buy summer dress sale"/>
    <n v="53681"/>
    <n v="1171"/>
    <n v="4052.47"/>
    <n v="109"/>
    <n v="11782.2"/>
    <n v="9.3082835183603763"/>
    <n v="37.178623853211008"/>
    <n v="2.9074120227910387"/>
    <n v="108.09357798165138"/>
  </r>
  <r>
    <d v="2024-10-18T00:00:00"/>
    <x v="0"/>
    <x v="2"/>
    <s v="men leather jacket sale"/>
    <n v="5583"/>
    <n v="73"/>
    <n v="381.24"/>
    <n v="8"/>
    <n v="1640.66"/>
    <n v="10.95890410958904"/>
    <n v="47.655000000000001"/>
    <n v="4.3034833700556083"/>
    <n v="205.08250000000001"/>
  </r>
  <r>
    <d v="2024-10-18T00:00:00"/>
    <x v="1"/>
    <x v="0"/>
    <s v="organic coffee pods fast shipping"/>
    <n v="10873"/>
    <n v="724"/>
    <n v="363.91"/>
    <n v="42"/>
    <n v="953.83"/>
    <n v="5.8011049723756907"/>
    <n v="8.6645238095238106"/>
    <n v="2.6210601522354429"/>
    <n v="22.710238095238097"/>
  </r>
  <r>
    <d v="2024-10-18T00:00:00"/>
    <x v="1"/>
    <x v="1"/>
    <s v="handmade ceramic mug buy now"/>
    <n v="40348"/>
    <n v="1767"/>
    <n v="1898.16"/>
    <n v="121"/>
    <n v="8991.85"/>
    <n v="6.8477645727221272"/>
    <n v="15.687272727272727"/>
    <n v="4.7371401778564506"/>
    <n v="74.312809917355381"/>
  </r>
  <r>
    <d v="2024-10-18T00:00:00"/>
    <x v="1"/>
    <x v="2"/>
    <s v="organic coffee pods fast shipping"/>
    <n v="3196"/>
    <n v="85"/>
    <n v="63.41"/>
    <n v="16"/>
    <n v="243.82"/>
    <n v="18.823529411764707"/>
    <n v="3.9631249999999998"/>
    <n v="3.8451348367765337"/>
    <n v="15.23875"/>
  </r>
  <r>
    <d v="2024-10-18T00:00:00"/>
    <x v="2"/>
    <x v="0"/>
    <s v="wireless headphones discount"/>
    <n v="25371"/>
    <n v="759"/>
    <n v="1038.42"/>
    <n v="15"/>
    <n v="1321.09"/>
    <n v="1.9762845849802373"/>
    <n v="69.228000000000009"/>
    <n v="1.2722116292059089"/>
    <n v="88.072666666666663"/>
  </r>
  <r>
    <d v="2024-10-18T00:00:00"/>
    <x v="2"/>
    <x v="1"/>
    <s v="wireless headphones discount"/>
    <n v="44798"/>
    <n v="2123"/>
    <n v="4760.8999999999996"/>
    <n v="195"/>
    <n v="15261.22"/>
    <n v="9.1851154027319826"/>
    <n v="24.414871794871793"/>
    <n v="3.2055325673717157"/>
    <n v="78.262666666666661"/>
  </r>
  <r>
    <d v="2024-10-18T00:00:00"/>
    <x v="2"/>
    <x v="2"/>
    <s v="best gaming laptop deals"/>
    <n v="4360"/>
    <n v="110"/>
    <n v="155.4"/>
    <n v="2"/>
    <n v="327.27999999999997"/>
    <n v="1.8181818181818181"/>
    <n v="77.7"/>
    <n v="2.1060489060489056"/>
    <n v="163.63999999999999"/>
  </r>
  <r>
    <d v="2024-10-18T00:00:00"/>
    <x v="3"/>
    <x v="0"/>
    <s v="winter boots discount"/>
    <n v="12058"/>
    <n v="413"/>
    <n v="1304.03"/>
    <n v="41"/>
    <n v="4521.87"/>
    <n v="9.9273607748184016"/>
    <n v="31.80560975609756"/>
    <n v="3.4676119414430651"/>
    <n v="110.28951219512194"/>
  </r>
  <r>
    <d v="2024-10-18T00:00:00"/>
    <x v="3"/>
    <x v="1"/>
    <s v="holiday gift ideas under 50"/>
    <n v="68775"/>
    <n v="2177"/>
    <n v="1967.75"/>
    <n v="76"/>
    <n v="4539.2700000000004"/>
    <n v="3.4910427193385392"/>
    <n v="25.891447368421051"/>
    <n v="2.306832676915259"/>
    <n v="59.72723684210527"/>
  </r>
  <r>
    <d v="2024-10-18T00:00:00"/>
    <x v="3"/>
    <x v="2"/>
    <s v="holiday gift ideas under 50"/>
    <n v="7036"/>
    <n v="140"/>
    <n v="134.19999999999999"/>
    <n v="14"/>
    <n v="256.56"/>
    <n v="10"/>
    <n v="9.5857142857142854"/>
    <n v="1.9117734724292104"/>
    <n v="18.325714285714287"/>
  </r>
  <r>
    <d v="2024-10-19T00:00:00"/>
    <x v="0"/>
    <x v="0"/>
    <s v="buy summer dress sale"/>
    <n v="27153"/>
    <n v="669"/>
    <n v="381.22"/>
    <n v="43"/>
    <n v="1245.6400000000001"/>
    <n v="6.4275037369207766"/>
    <n v="8.8655813953488387"/>
    <n v="3.2675095745238969"/>
    <n v="28.968372093023259"/>
  </r>
  <r>
    <d v="2024-10-19T00:00:00"/>
    <x v="0"/>
    <x v="1"/>
    <s v="buy summer dress sale"/>
    <n v="60588"/>
    <n v="2788"/>
    <n v="2880.54"/>
    <n v="202"/>
    <n v="7691.47"/>
    <n v="7.2453371592539453"/>
    <n v="14.260099009900991"/>
    <n v="2.6701486526831775"/>
    <n v="38.076584158415841"/>
  </r>
  <r>
    <d v="2024-10-19T00:00:00"/>
    <x v="0"/>
    <x v="2"/>
    <s v="discount leather backpack"/>
    <n v="4077"/>
    <n v="241"/>
    <n v="55.68"/>
    <n v="3"/>
    <n v="139.77000000000001"/>
    <n v="1.2448132780082988"/>
    <n v="18.559999999999999"/>
    <n v="2.5102370689655173"/>
    <n v="46.59"/>
  </r>
  <r>
    <d v="2024-10-19T00:00:00"/>
    <x v="1"/>
    <x v="0"/>
    <s v="best wireless earbuds deals"/>
    <n v="29067"/>
    <n v="640"/>
    <n v="460.09"/>
    <n v="32"/>
    <n v="1506.73"/>
    <n v="5"/>
    <n v="14.377812499999999"/>
    <n v="3.2748592666652181"/>
    <n v="47.085312500000001"/>
  </r>
  <r>
    <d v="2024-10-19T00:00:00"/>
    <x v="1"/>
    <x v="1"/>
    <s v="discount leather backpack"/>
    <n v="65449"/>
    <n v="2424"/>
    <n v="2914.12"/>
    <n v="86"/>
    <n v="12483.19"/>
    <n v="3.5478547854785476"/>
    <n v="33.885116279069763"/>
    <n v="4.2836911314564947"/>
    <n v="145.15337209302325"/>
  </r>
  <r>
    <d v="2024-10-19T00:00:00"/>
    <x v="1"/>
    <x v="2"/>
    <s v="best wireless earbuds deals"/>
    <n v="7865"/>
    <n v="248"/>
    <n v="380.26"/>
    <n v="2"/>
    <n v="880.33"/>
    <n v="0.80645161290322576"/>
    <n v="190.13"/>
    <n v="2.3150738968074478"/>
    <n v="440.16500000000002"/>
  </r>
  <r>
    <d v="2024-10-19T00:00:00"/>
    <x v="2"/>
    <x v="0"/>
    <s v="best gaming laptop deals"/>
    <n v="16536"/>
    <n v="342"/>
    <n v="678.71"/>
    <n v="29"/>
    <n v="2143.6799999999998"/>
    <n v="8.4795321637426895"/>
    <n v="23.403793103448276"/>
    <n v="3.1584623771566642"/>
    <n v="73.919999999999987"/>
  </r>
  <r>
    <d v="2024-10-19T00:00:00"/>
    <x v="2"/>
    <x v="1"/>
    <s v="men leather jacket sale"/>
    <n v="51601"/>
    <n v="1074"/>
    <n v="4013.16"/>
    <n v="88"/>
    <n v="9178.99"/>
    <n v="8.1936685288640589"/>
    <n v="45.604090909090907"/>
    <n v="2.287222537850472"/>
    <n v="104.30670454545454"/>
  </r>
  <r>
    <d v="2024-10-19T00:00:00"/>
    <x v="2"/>
    <x v="2"/>
    <s v="best gaming laptop deals"/>
    <n v="7371"/>
    <n v="134"/>
    <n v="145.63"/>
    <n v="12"/>
    <n v="416.56"/>
    <n v="8.9552238805970141"/>
    <n v="12.135833333333332"/>
    <n v="2.860399642930715"/>
    <n v="34.713333333333331"/>
  </r>
  <r>
    <d v="2024-10-19T00:00:00"/>
    <x v="3"/>
    <x v="0"/>
    <s v="winter boots discount"/>
    <n v="24409"/>
    <n v="695"/>
    <n v="706.84"/>
    <n v="21"/>
    <n v="2181.0100000000002"/>
    <n v="3.0215827338129495"/>
    <n v="33.65904761904762"/>
    <n v="3.0855780657574559"/>
    <n v="103.85761904761905"/>
  </r>
  <r>
    <d v="2024-10-19T00:00:00"/>
    <x v="3"/>
    <x v="1"/>
    <s v="winter boots discount"/>
    <n v="59074"/>
    <n v="2892"/>
    <n v="4189.16"/>
    <n v="108"/>
    <n v="17780.310000000001"/>
    <n v="3.7344398340248963"/>
    <n v="38.788518518518515"/>
    <n v="4.2443616381327045"/>
    <n v="164.63250000000002"/>
  </r>
  <r>
    <d v="2024-10-19T00:00:00"/>
    <x v="3"/>
    <x v="2"/>
    <s v="winter boots discount"/>
    <n v="2646"/>
    <n v="160"/>
    <n v="260.86"/>
    <n v="6"/>
    <n v="853.74"/>
    <n v="3.75"/>
    <n v="43.476666666666667"/>
    <n v="3.2727900023000842"/>
    <n v="142.29"/>
  </r>
  <r>
    <d v="2024-10-20T00:00:00"/>
    <x v="0"/>
    <x v="0"/>
    <s v="discount leather backpack"/>
    <n v="13361"/>
    <n v="381"/>
    <n v="693.5"/>
    <n v="28"/>
    <n v="1639.91"/>
    <n v="7.349081364829396"/>
    <n v="24.767857142857142"/>
    <n v="2.3646863734679164"/>
    <n v="58.568214285714291"/>
  </r>
  <r>
    <d v="2024-10-20T00:00:00"/>
    <x v="0"/>
    <x v="1"/>
    <s v="kids educational toys sale"/>
    <n v="45921"/>
    <n v="2412"/>
    <n v="2775.63"/>
    <n v="154"/>
    <n v="3777.49"/>
    <n v="6.384742951907131"/>
    <n v="18.023571428571429"/>
    <n v="1.3609486855236468"/>
    <n v="24.529155844155841"/>
  </r>
  <r>
    <d v="2024-10-20T00:00:00"/>
    <x v="0"/>
    <x v="2"/>
    <s v="discount leather backpack"/>
    <n v="7036"/>
    <n v="161"/>
    <n v="146.09"/>
    <n v="2"/>
    <n v="216.97"/>
    <n v="1.2422360248447204"/>
    <n v="73.045000000000002"/>
    <n v="1.4851803682661373"/>
    <n v="108.485"/>
  </r>
  <r>
    <d v="2024-10-20T00:00:00"/>
    <x v="1"/>
    <x v="0"/>
    <s v="handmade ceramic mug buy now"/>
    <n v="21904"/>
    <n v="825"/>
    <n v="1261.32"/>
    <n v="53"/>
    <n v="2280.4"/>
    <n v="6.4242424242424239"/>
    <n v="23.798490566037735"/>
    <n v="1.8079472298861512"/>
    <n v="43.026415094339626"/>
  </r>
  <r>
    <d v="2024-10-20T00:00:00"/>
    <x v="1"/>
    <x v="1"/>
    <s v="best wireless earbuds deals"/>
    <n v="44357"/>
    <n v="2738"/>
    <n v="3430.29"/>
    <n v="240"/>
    <n v="9827.98"/>
    <n v="8.7655222790357925"/>
    <n v="14.292875"/>
    <n v="2.865058056315938"/>
    <n v="40.949916666666667"/>
  </r>
  <r>
    <d v="2024-10-20T00:00:00"/>
    <x v="1"/>
    <x v="2"/>
    <s v="discount leather backpack"/>
    <n v="2550"/>
    <n v="110"/>
    <n v="322.48"/>
    <n v="12"/>
    <n v="830.76"/>
    <n v="10.909090909090908"/>
    <n v="26.873333333333335"/>
    <n v="2.5761597618456955"/>
    <n v="69.23"/>
  </r>
  <r>
    <d v="2024-10-20T00:00:00"/>
    <x v="2"/>
    <x v="0"/>
    <s v="best gaming laptop deals"/>
    <n v="29827"/>
    <n v="457"/>
    <n v="1114.8699999999999"/>
    <n v="33"/>
    <n v="2913.88"/>
    <n v="7.2210065645514225"/>
    <n v="33.783939393939391"/>
    <n v="2.6136500219756567"/>
    <n v="88.299393939393937"/>
  </r>
  <r>
    <d v="2024-10-20T00:00:00"/>
    <x v="2"/>
    <x v="1"/>
    <s v="best gaming laptop deals"/>
    <n v="44023"/>
    <n v="2084"/>
    <n v="2467.8000000000002"/>
    <n v="120"/>
    <n v="9052.7099999999991"/>
    <n v="5.7581573896353166"/>
    <n v="20.565000000000001"/>
    <n v="3.668332117675662"/>
    <n v="75.439249999999987"/>
  </r>
  <r>
    <d v="2024-10-20T00:00:00"/>
    <x v="2"/>
    <x v="2"/>
    <s v="wireless headphones discount"/>
    <n v="2929"/>
    <n v="56"/>
    <n v="307.49"/>
    <n v="16"/>
    <n v="973.95"/>
    <n v="28.571428571428569"/>
    <n v="19.218125000000001"/>
    <n v="3.1674200787017464"/>
    <n v="60.871875000000003"/>
  </r>
  <r>
    <d v="2024-10-20T00:00:00"/>
    <x v="3"/>
    <x v="0"/>
    <s v="holiday gift ideas under 50"/>
    <n v="18577"/>
    <n v="566"/>
    <n v="1144.8499999999999"/>
    <n v="23"/>
    <n v="5708.44"/>
    <n v="4.0636042402826851"/>
    <n v="49.776086956521738"/>
    <n v="4.9861903306109969"/>
    <n v="248.19304347826085"/>
  </r>
  <r>
    <d v="2024-10-20T00:00:00"/>
    <x v="3"/>
    <x v="1"/>
    <s v="new year party dress"/>
    <n v="67191"/>
    <n v="1409"/>
    <n v="1490.55"/>
    <n v="58"/>
    <n v="4349.07"/>
    <n v="4.1163946061036194"/>
    <n v="25.699137931034482"/>
    <n v="2.9177618999698098"/>
    <n v="74.983965517241373"/>
  </r>
  <r>
    <d v="2024-10-20T00:00:00"/>
    <x v="3"/>
    <x v="2"/>
    <s v="winter boots discount"/>
    <n v="2719"/>
    <n v="224"/>
    <n v="388.65"/>
    <n v="11"/>
    <n v="1452.69"/>
    <n v="4.9107142857142856"/>
    <n v="35.331818181818178"/>
    <n v="3.7377846391354694"/>
    <n v="132.06272727272727"/>
  </r>
  <r>
    <d v="2024-10-21T00:00:00"/>
    <x v="0"/>
    <x v="0"/>
    <s v="buy summer dress sale"/>
    <n v="28022"/>
    <n v="855"/>
    <n v="648.42999999999995"/>
    <n v="29"/>
    <n v="2875.9"/>
    <n v="3.3918128654970756"/>
    <n v="22.359655172413792"/>
    <n v="4.4351741899665349"/>
    <n v="99.168965517241389"/>
  </r>
  <r>
    <d v="2024-10-21T00:00:00"/>
    <x v="0"/>
    <x v="1"/>
    <s v="men leather jacket sale"/>
    <n v="58690"/>
    <n v="2041"/>
    <n v="1896.97"/>
    <n v="91"/>
    <n v="7985.96"/>
    <n v="4.4585987261146496"/>
    <n v="20.845824175824177"/>
    <n v="4.2098504457107913"/>
    <n v="87.757802197802192"/>
  </r>
  <r>
    <d v="2024-10-21T00:00:00"/>
    <x v="0"/>
    <x v="2"/>
    <s v="men leather jacket sale"/>
    <n v="6047"/>
    <n v="56"/>
    <n v="176.31"/>
    <n v="19"/>
    <n v="458.73"/>
    <n v="33.928571428571431"/>
    <n v="9.2794736842105259"/>
    <n v="2.6018376722817766"/>
    <n v="24.143684210526317"/>
  </r>
  <r>
    <d v="2024-10-21T00:00:00"/>
    <x v="1"/>
    <x v="0"/>
    <s v="discount leather backpack"/>
    <n v="12825"/>
    <n v="367"/>
    <n v="671.15"/>
    <n v="55"/>
    <n v="2638.76"/>
    <n v="14.986376021798364"/>
    <n v="12.202727272727273"/>
    <n v="3.9316993220591527"/>
    <n v="47.977454545454549"/>
  </r>
  <r>
    <d v="2024-10-21T00:00:00"/>
    <x v="1"/>
    <x v="1"/>
    <s v="handmade ceramic mug buy now"/>
    <n v="61832"/>
    <n v="2686"/>
    <n v="3299.6"/>
    <n v="72"/>
    <n v="16151.68"/>
    <n v="2.680565897244974"/>
    <n v="45.827777777777776"/>
    <n v="4.8950418232513035"/>
    <n v="224.32888888888888"/>
  </r>
  <r>
    <d v="2024-10-21T00:00:00"/>
    <x v="1"/>
    <x v="2"/>
    <s v="best wireless earbuds deals"/>
    <n v="5686"/>
    <n v="169"/>
    <n v="288.04000000000002"/>
    <n v="12"/>
    <n v="486.12"/>
    <n v="7.1005917159763312"/>
    <n v="24.003333333333334"/>
    <n v="1.6876822663518956"/>
    <n v="40.51"/>
  </r>
  <r>
    <d v="2024-10-21T00:00:00"/>
    <x v="2"/>
    <x v="0"/>
    <s v="wireless headphones discount"/>
    <n v="14228"/>
    <n v="743"/>
    <n v="903.44"/>
    <n v="13"/>
    <n v="3938.35"/>
    <n v="1.7496635262449527"/>
    <n v="69.495384615384623"/>
    <n v="4.3592822987691484"/>
    <n v="302.95"/>
  </r>
  <r>
    <d v="2024-10-21T00:00:00"/>
    <x v="2"/>
    <x v="1"/>
    <s v="wireless headphones discount"/>
    <n v="54931"/>
    <n v="1337"/>
    <n v="1647.87"/>
    <n v="221"/>
    <n v="3389.32"/>
    <n v="16.529543754674645"/>
    <n v="7.4564253393665156"/>
    <n v="2.0567884602547535"/>
    <n v="15.336289592760181"/>
  </r>
  <r>
    <d v="2024-10-21T00:00:00"/>
    <x v="2"/>
    <x v="2"/>
    <s v="4k smart TV discount"/>
    <n v="2646"/>
    <n v="114"/>
    <n v="118.71"/>
    <n v="18"/>
    <n v="266.26"/>
    <n v="15.789473684210526"/>
    <n v="6.5949999999999998"/>
    <n v="2.2429449919973043"/>
    <n v="14.792222222222222"/>
  </r>
  <r>
    <d v="2024-10-21T00:00:00"/>
    <x v="3"/>
    <x v="0"/>
    <s v="new year party dress"/>
    <n v="27481"/>
    <n v="395"/>
    <n v="903.09"/>
    <n v="20"/>
    <n v="3114.64"/>
    <n v="5.0632911392405067"/>
    <n v="45.154499999999999"/>
    <n v="3.4488699908093321"/>
    <n v="155.732"/>
  </r>
  <r>
    <d v="2024-10-21T00:00:00"/>
    <x v="3"/>
    <x v="1"/>
    <s v="christmas decor sale"/>
    <n v="46219"/>
    <n v="2349"/>
    <n v="3497.92"/>
    <n v="194"/>
    <n v="8685.18"/>
    <n v="8.2588335461898676"/>
    <n v="18.030515463917528"/>
    <n v="2.4829555850333911"/>
    <n v="44.76896907216495"/>
  </r>
  <r>
    <d v="2024-10-21T00:00:00"/>
    <x v="3"/>
    <x v="2"/>
    <s v="holiday gift ideas under 50"/>
    <n v="2232"/>
    <n v="70"/>
    <n v="65.91"/>
    <n v="19"/>
    <n v="145.38"/>
    <n v="27.142857142857142"/>
    <n v="3.4689473684210523"/>
    <n v="2.205735093309058"/>
    <n v="7.6515789473684208"/>
  </r>
  <r>
    <d v="2024-10-22T00:00:00"/>
    <x v="0"/>
    <x v="0"/>
    <s v="men leather jacket sale"/>
    <n v="28747"/>
    <n v="726"/>
    <n v="1041.73"/>
    <n v="11"/>
    <n v="3221.6"/>
    <n v="1.5151515151515151"/>
    <n v="94.702727272727273"/>
    <n v="3.0925479730832364"/>
    <n v="292.87272727272727"/>
  </r>
  <r>
    <d v="2024-10-22T00:00:00"/>
    <x v="0"/>
    <x v="1"/>
    <s v="discount leather backpack"/>
    <n v="54798"/>
    <n v="1989"/>
    <n v="1979.51"/>
    <n v="246"/>
    <n v="7528.01"/>
    <n v="12.368024132730016"/>
    <n v="8.0467886178861789"/>
    <n v="3.8029663906724394"/>
    <n v="30.601666666666667"/>
  </r>
  <r>
    <d v="2024-10-22T00:00:00"/>
    <x v="0"/>
    <x v="2"/>
    <s v="discount leather backpack"/>
    <n v="5715"/>
    <n v="68"/>
    <n v="291.01"/>
    <n v="6"/>
    <n v="835.34"/>
    <n v="8.8235294117647065"/>
    <n v="48.501666666666665"/>
    <n v="2.8704855503247315"/>
    <n v="139.22333333333333"/>
  </r>
  <r>
    <d v="2024-10-22T00:00:00"/>
    <x v="1"/>
    <x v="0"/>
    <s v="handmade ceramic mug buy now"/>
    <n v="25218"/>
    <n v="508"/>
    <n v="708.23"/>
    <n v="19"/>
    <n v="1691.12"/>
    <n v="3.7401574803149611"/>
    <n v="37.275263157894734"/>
    <n v="2.3878118690255987"/>
    <n v="89.006315789473675"/>
  </r>
  <r>
    <d v="2024-10-22T00:00:00"/>
    <x v="1"/>
    <x v="1"/>
    <s v="organic coffee pods fast shipping"/>
    <n v="57634"/>
    <n v="2997"/>
    <n v="2594.87"/>
    <n v="234"/>
    <n v="6767.56"/>
    <n v="7.8078078078078077"/>
    <n v="11.089188034188034"/>
    <n v="2.6080535826457591"/>
    <n v="28.921196581196583"/>
  </r>
  <r>
    <d v="2024-10-22T00:00:00"/>
    <x v="1"/>
    <x v="2"/>
    <s v="best wireless earbuds deals"/>
    <n v="4614"/>
    <n v="111"/>
    <n v="213.27"/>
    <n v="9"/>
    <n v="620.29"/>
    <n v="8.1081081081081088"/>
    <n v="23.696666666666669"/>
    <n v="2.9084728278707739"/>
    <n v="68.921111111111102"/>
  </r>
  <r>
    <d v="2024-10-22T00:00:00"/>
    <x v="2"/>
    <x v="0"/>
    <s v="wireless headphones discount"/>
    <n v="13172"/>
    <n v="351"/>
    <n v="648.25"/>
    <n v="34"/>
    <n v="2906.64"/>
    <n v="9.6866096866096854"/>
    <n v="19.066176470588236"/>
    <n v="4.4838256845352875"/>
    <n v="85.489411764705878"/>
  </r>
  <r>
    <d v="2024-10-22T00:00:00"/>
    <x v="2"/>
    <x v="1"/>
    <s v="men leather jacket sale"/>
    <n v="51270"/>
    <n v="2971"/>
    <n v="4461.2299999999996"/>
    <n v="80"/>
    <n v="19144.099999999999"/>
    <n v="2.6926960619320095"/>
    <n v="55.765374999999992"/>
    <n v="4.2912156512889945"/>
    <n v="239.30124999999998"/>
  </r>
  <r>
    <d v="2024-10-22T00:00:00"/>
    <x v="2"/>
    <x v="2"/>
    <s v="4k smart TV discount"/>
    <n v="3555"/>
    <n v="245"/>
    <n v="105.77"/>
    <n v="17"/>
    <n v="314.55"/>
    <n v="6.9387755102040813"/>
    <n v="6.2217647058823529"/>
    <n v="2.9739056443225871"/>
    <n v="18.502941176470589"/>
  </r>
  <r>
    <d v="2024-10-22T00:00:00"/>
    <x v="3"/>
    <x v="0"/>
    <s v="new year party dress"/>
    <n v="26297"/>
    <n v="323"/>
    <n v="408.06"/>
    <n v="35"/>
    <n v="1273.43"/>
    <n v="10.835913312693499"/>
    <n v="11.658857142857142"/>
    <n v="3.1206930353379407"/>
    <n v="36.383714285714291"/>
  </r>
  <r>
    <d v="2024-10-22T00:00:00"/>
    <x v="3"/>
    <x v="1"/>
    <s v="christmas decor sale"/>
    <n v="49099"/>
    <n v="2194"/>
    <n v="2411.58"/>
    <n v="52"/>
    <n v="5472.25"/>
    <n v="2.3701002734731085"/>
    <n v="46.376538461538459"/>
    <n v="2.2691554914205625"/>
    <n v="105.23557692307692"/>
  </r>
  <r>
    <d v="2024-10-22T00:00:00"/>
    <x v="3"/>
    <x v="2"/>
    <s v="winter boots discount"/>
    <n v="4340"/>
    <n v="187"/>
    <n v="52.86"/>
    <n v="4"/>
    <n v="149.99"/>
    <n v="2.1390374331550799"/>
    <n v="13.215"/>
    <n v="2.8374952705259178"/>
    <n v="37.497500000000002"/>
  </r>
  <r>
    <d v="2024-10-23T00:00:00"/>
    <x v="0"/>
    <x v="0"/>
    <s v="discount leather backpack"/>
    <n v="21985"/>
    <n v="712"/>
    <n v="739.12"/>
    <n v="35"/>
    <n v="1030.6300000000001"/>
    <n v="4.915730337078652"/>
    <n v="21.117714285714285"/>
    <n v="1.3944014503734172"/>
    <n v="29.446571428571431"/>
  </r>
  <r>
    <d v="2024-10-23T00:00:00"/>
    <x v="0"/>
    <x v="1"/>
    <s v="men leather jacket sale"/>
    <n v="58758"/>
    <n v="2133"/>
    <n v="2154.41"/>
    <n v="138"/>
    <n v="6713.51"/>
    <n v="6.4697609001406473"/>
    <n v="15.611666666666666"/>
    <n v="3.1161710166588534"/>
    <n v="48.6486231884058"/>
  </r>
  <r>
    <d v="2024-10-23T00:00:00"/>
    <x v="0"/>
    <x v="2"/>
    <s v="discount leather backpack"/>
    <n v="7105"/>
    <n v="224"/>
    <n v="263.87"/>
    <n v="5"/>
    <n v="1294.3699999999999"/>
    <n v="2.2321428571428572"/>
    <n v="52.774000000000001"/>
    <n v="4.9053321711448818"/>
    <n v="258.87399999999997"/>
  </r>
  <r>
    <d v="2024-10-23T00:00:00"/>
    <x v="1"/>
    <x v="0"/>
    <s v="handmade ceramic mug buy now"/>
    <n v="22228"/>
    <n v="647"/>
    <n v="969.4"/>
    <n v="33"/>
    <n v="3944.36"/>
    <n v="5.1004636785162285"/>
    <n v="29.375757575757575"/>
    <n v="4.0688673406230658"/>
    <n v="119.52606060606061"/>
  </r>
  <r>
    <d v="2024-10-23T00:00:00"/>
    <x v="1"/>
    <x v="1"/>
    <s v="discount leather backpack"/>
    <n v="68365"/>
    <n v="1822"/>
    <n v="3000.31"/>
    <n v="51"/>
    <n v="4044.04"/>
    <n v="2.7991218441273324"/>
    <n v="58.829607843137254"/>
    <n v="1.3478740530145219"/>
    <n v="79.294901960784316"/>
  </r>
  <r>
    <d v="2024-10-23T00:00:00"/>
    <x v="1"/>
    <x v="2"/>
    <s v="organic coffee pods fast shipping"/>
    <n v="5880"/>
    <n v="182"/>
    <n v="209.95"/>
    <n v="20"/>
    <n v="964.49"/>
    <n v="10.989010989010989"/>
    <n v="10.497499999999999"/>
    <n v="4.5939033103119797"/>
    <n v="48.224499999999999"/>
  </r>
  <r>
    <d v="2024-10-23T00:00:00"/>
    <x v="2"/>
    <x v="0"/>
    <s v="wireless headphones discount"/>
    <n v="20746"/>
    <n v="626"/>
    <n v="495"/>
    <n v="49"/>
    <n v="1984.66"/>
    <n v="7.8274760383386583"/>
    <n v="10.102040816326531"/>
    <n v="4.0094141414141413"/>
    <n v="40.503265306122451"/>
  </r>
  <r>
    <d v="2024-10-23T00:00:00"/>
    <x v="2"/>
    <x v="1"/>
    <s v="4k smart TV discount"/>
    <n v="57044"/>
    <n v="2038"/>
    <n v="4313.16"/>
    <n v="176"/>
    <n v="13204.38"/>
    <n v="8.6359175662414138"/>
    <n v="24.506590909090907"/>
    <n v="3.0614166875330384"/>
    <n v="75.024886363636355"/>
  </r>
  <r>
    <d v="2024-10-23T00:00:00"/>
    <x v="2"/>
    <x v="2"/>
    <s v="4k smart TV discount"/>
    <n v="5890"/>
    <n v="54"/>
    <n v="178.93"/>
    <n v="4"/>
    <n v="880.98"/>
    <n v="7.4074074074074066"/>
    <n v="44.732500000000002"/>
    <n v="4.9236014083719892"/>
    <n v="220.245"/>
  </r>
  <r>
    <d v="2024-10-23T00:00:00"/>
    <x v="3"/>
    <x v="0"/>
    <s v="new year party dress"/>
    <n v="10873"/>
    <n v="785"/>
    <n v="618.64"/>
    <n v="51"/>
    <n v="2582.84"/>
    <n v="6.4968152866242042"/>
    <n v="12.130196078431373"/>
    <n v="4.1750290960817278"/>
    <n v="50.643921568627455"/>
  </r>
  <r>
    <d v="2024-10-23T00:00:00"/>
    <x v="3"/>
    <x v="1"/>
    <s v="christmas decor sale"/>
    <n v="38365"/>
    <n v="2195"/>
    <n v="2921.8"/>
    <n v="174"/>
    <n v="10490.13"/>
    <n v="7.9271070615034178"/>
    <n v="16.791954022988506"/>
    <n v="3.5902970771442257"/>
    <n v="60.288103448275855"/>
  </r>
  <r>
    <d v="2024-10-23T00:00:00"/>
    <x v="3"/>
    <x v="2"/>
    <s v="winter boots discount"/>
    <n v="3210"/>
    <n v="224"/>
    <n v="134.77000000000001"/>
    <n v="19"/>
    <n v="647.32000000000005"/>
    <n v="8.4821428571428577"/>
    <n v="7.0931578947368426"/>
    <n v="4.8031461007642653"/>
    <n v="34.069473684210529"/>
  </r>
  <r>
    <d v="2024-10-24T00:00:00"/>
    <x v="0"/>
    <x v="0"/>
    <s v="buy summer dress sale"/>
    <n v="16251"/>
    <n v="319"/>
    <n v="829.25"/>
    <n v="36"/>
    <n v="1472.28"/>
    <n v="11.285266457680251"/>
    <n v="23.034722222222221"/>
    <n v="1.775435634609587"/>
    <n v="40.896666666666668"/>
  </r>
  <r>
    <d v="2024-10-24T00:00:00"/>
    <x v="0"/>
    <x v="1"/>
    <s v="men leather jacket sale"/>
    <n v="61894"/>
    <n v="2027"/>
    <n v="4099.8900000000003"/>
    <n v="160"/>
    <n v="18518"/>
    <n v="7.8934385791810557"/>
    <n v="25.624312500000002"/>
    <n v="4.5167065457853743"/>
    <n v="115.7375"/>
  </r>
  <r>
    <d v="2024-10-24T00:00:00"/>
    <x v="0"/>
    <x v="2"/>
    <s v="buy summer dress sale"/>
    <n v="7781"/>
    <n v="85"/>
    <n v="231.54"/>
    <n v="18"/>
    <n v="563.84"/>
    <n v="21.176470588235293"/>
    <n v="12.863333333333333"/>
    <n v="2.4351731882180188"/>
    <n v="31.324444444444445"/>
  </r>
  <r>
    <d v="2024-10-24T00:00:00"/>
    <x v="1"/>
    <x v="0"/>
    <s v="handmade ceramic mug buy now"/>
    <n v="27218"/>
    <n v="685"/>
    <n v="676.5"/>
    <n v="21"/>
    <n v="1993.46"/>
    <n v="3.0656934306569341"/>
    <n v="32.214285714285715"/>
    <n v="2.9467257945306726"/>
    <n v="94.926666666666662"/>
  </r>
  <r>
    <d v="2024-10-24T00:00:00"/>
    <x v="1"/>
    <x v="1"/>
    <s v="organic coffee pods fast shipping"/>
    <n v="58218"/>
    <n v="2384"/>
    <n v="4087.96"/>
    <n v="224"/>
    <n v="15480.43"/>
    <n v="9.3959731543624159"/>
    <n v="18.24982142857143"/>
    <n v="3.786834998385503"/>
    <n v="69.109062500000007"/>
  </r>
  <r>
    <d v="2024-10-24T00:00:00"/>
    <x v="1"/>
    <x v="2"/>
    <s v="organic coffee pods fast shipping"/>
    <n v="6997"/>
    <n v="173"/>
    <n v="117.29"/>
    <n v="8"/>
    <n v="265.10000000000002"/>
    <n v="4.6242774566473983"/>
    <n v="14.661250000000001"/>
    <n v="2.2602097365504306"/>
    <n v="33.137500000000003"/>
  </r>
  <r>
    <d v="2024-10-24T00:00:00"/>
    <x v="2"/>
    <x v="0"/>
    <s v="4k smart TV discount"/>
    <n v="17368"/>
    <n v="604"/>
    <n v="1225.4100000000001"/>
    <n v="55"/>
    <n v="2435.69"/>
    <n v="9.105960264900661"/>
    <n v="22.28018181818182"/>
    <n v="1.9876531120196506"/>
    <n v="44.285272727272726"/>
  </r>
  <r>
    <d v="2024-10-24T00:00:00"/>
    <x v="2"/>
    <x v="1"/>
    <s v="men leather jacket sale"/>
    <n v="55777"/>
    <n v="1982"/>
    <n v="2395.21"/>
    <n v="243"/>
    <n v="9442.7000000000007"/>
    <n v="12.260343087790112"/>
    <n v="9.8568312757201646"/>
    <n v="3.9423265600928521"/>
    <n v="38.85884773662552"/>
  </r>
  <r>
    <d v="2024-10-24T00:00:00"/>
    <x v="2"/>
    <x v="2"/>
    <s v="4k smart TV discount"/>
    <n v="2998"/>
    <n v="196"/>
    <n v="286.82"/>
    <n v="13"/>
    <n v="1320.49"/>
    <n v="6.6326530612244898"/>
    <n v="22.063076923076924"/>
    <n v="4.6038979150686847"/>
    <n v="101.57615384615384"/>
  </r>
  <r>
    <d v="2024-10-24T00:00:00"/>
    <x v="3"/>
    <x v="0"/>
    <s v="winter boots discount"/>
    <n v="21309"/>
    <n v="449"/>
    <n v="648.54"/>
    <n v="28"/>
    <n v="3132.57"/>
    <n v="6.2360801781737196"/>
    <n v="23.162142857142857"/>
    <n v="4.8301878064575821"/>
    <n v="111.87750000000001"/>
  </r>
  <r>
    <d v="2024-10-24T00:00:00"/>
    <x v="3"/>
    <x v="1"/>
    <s v="holiday gift ideas under 50"/>
    <n v="57699"/>
    <n v="2892"/>
    <n v="2769.5"/>
    <n v="105"/>
    <n v="11188.47"/>
    <n v="3.6307053941908718"/>
    <n v="26.376190476190477"/>
    <n v="4.0398880664379853"/>
    <n v="106.55685714285714"/>
  </r>
  <r>
    <d v="2024-10-24T00:00:00"/>
    <x v="3"/>
    <x v="2"/>
    <s v="christmas decor sale"/>
    <n v="3655"/>
    <n v="187"/>
    <n v="144.9"/>
    <n v="18"/>
    <n v="557.21"/>
    <n v="9.6256684491978604"/>
    <n v="8.0500000000000007"/>
    <n v="3.8454796411318153"/>
    <n v="30.956111111111113"/>
  </r>
  <r>
    <d v="2024-10-25T00:00:00"/>
    <x v="0"/>
    <x v="0"/>
    <s v="men leather jacket sale"/>
    <n v="13579"/>
    <n v="900"/>
    <n v="587.14"/>
    <n v="13"/>
    <n v="2199.06"/>
    <n v="1.4444444444444444"/>
    <n v="45.164615384615381"/>
    <n v="3.7453758899070069"/>
    <n v="169.15846153846152"/>
  </r>
  <r>
    <d v="2024-10-25T00:00:00"/>
    <x v="0"/>
    <x v="1"/>
    <s v="men leather jacket sale"/>
    <n v="50259"/>
    <n v="1107"/>
    <n v="1400.79"/>
    <n v="124"/>
    <n v="5499.45"/>
    <n v="11.201445347786811"/>
    <n v="11.296693548387097"/>
    <n v="3.9259632064763457"/>
    <n v="44.350403225806453"/>
  </r>
  <r>
    <d v="2024-10-25T00:00:00"/>
    <x v="0"/>
    <x v="2"/>
    <s v="buy summer dress sale"/>
    <n v="7580"/>
    <n v="247"/>
    <n v="98.11"/>
    <n v="18"/>
    <n v="482.31"/>
    <n v="7.2874493927125501"/>
    <n v="5.4505555555555558"/>
    <n v="4.9160126388747321"/>
    <n v="26.795000000000002"/>
  </r>
  <r>
    <d v="2024-10-25T00:00:00"/>
    <x v="1"/>
    <x v="0"/>
    <s v="discount leather backpack"/>
    <n v="23333"/>
    <n v="787"/>
    <n v="872.94"/>
    <n v="22"/>
    <n v="3555.02"/>
    <n v="2.7954256670902162"/>
    <n v="39.67909090909091"/>
    <n v="4.0724677526519573"/>
    <n v="161.59181818181818"/>
  </r>
  <r>
    <d v="2024-10-25T00:00:00"/>
    <x v="1"/>
    <x v="1"/>
    <s v="organic coffee pods fast shipping"/>
    <n v="56048"/>
    <n v="1584"/>
    <n v="3583.59"/>
    <n v="236"/>
    <n v="5518.55"/>
    <n v="14.898989898989898"/>
    <n v="15.18470338983051"/>
    <n v="1.5399501617093474"/>
    <n v="23.383686440677966"/>
  </r>
  <r>
    <d v="2024-10-25T00:00:00"/>
    <x v="1"/>
    <x v="2"/>
    <s v="discount leather backpack"/>
    <n v="6383"/>
    <n v="239"/>
    <n v="303.08999999999997"/>
    <n v="2"/>
    <n v="1415.51"/>
    <n v="0.83682008368200833"/>
    <n v="151.54499999999999"/>
    <n v="4.6702629581972355"/>
    <n v="707.755"/>
  </r>
  <r>
    <d v="2024-10-25T00:00:00"/>
    <x v="2"/>
    <x v="0"/>
    <s v="wireless headphones discount"/>
    <n v="23693"/>
    <n v="480"/>
    <n v="1420.71"/>
    <n v="12"/>
    <n v="7088.28"/>
    <n v="2.5"/>
    <n v="118.3925"/>
    <n v="4.989251852946766"/>
    <n v="590.68999999999994"/>
  </r>
  <r>
    <d v="2024-10-25T00:00:00"/>
    <x v="2"/>
    <x v="1"/>
    <s v="men leather jacket sale"/>
    <n v="67465"/>
    <n v="1381"/>
    <n v="4746.43"/>
    <n v="114"/>
    <n v="21509.040000000001"/>
    <n v="8.2548877624909487"/>
    <n v="41.635350877192984"/>
    <n v="4.531624821181393"/>
    <n v="188.6757894736842"/>
  </r>
  <r>
    <d v="2024-10-25T00:00:00"/>
    <x v="2"/>
    <x v="2"/>
    <s v="best gaming laptop deals"/>
    <n v="4444"/>
    <n v="195"/>
    <n v="260.97000000000003"/>
    <n v="11"/>
    <n v="595.36"/>
    <n v="5.6410256410256414"/>
    <n v="23.724545454545456"/>
    <n v="2.281335019350883"/>
    <n v="54.123636363636365"/>
  </r>
  <r>
    <d v="2024-10-25T00:00:00"/>
    <x v="3"/>
    <x v="0"/>
    <s v="winter boots discount"/>
    <n v="14397"/>
    <n v="816"/>
    <n v="861.62"/>
    <n v="22"/>
    <n v="3682.13"/>
    <n v="2.6960784313725492"/>
    <n v="39.164545454545454"/>
    <n v="4.2734964369443604"/>
    <n v="167.36954545454546"/>
  </r>
  <r>
    <d v="2024-10-25T00:00:00"/>
    <x v="3"/>
    <x v="1"/>
    <s v="new year party dress"/>
    <n v="45649"/>
    <n v="2497"/>
    <n v="2835.66"/>
    <n v="105"/>
    <n v="11146.05"/>
    <n v="4.2050460552663198"/>
    <n v="27.006285714285713"/>
    <n v="3.9306722244556824"/>
    <n v="106.15285714285713"/>
  </r>
  <r>
    <d v="2024-10-25T00:00:00"/>
    <x v="3"/>
    <x v="2"/>
    <s v="holiday gift ideas under 50"/>
    <n v="4761"/>
    <n v="125"/>
    <n v="248.72"/>
    <n v="7"/>
    <n v="464.33"/>
    <n v="5.6000000000000005"/>
    <n v="35.53142857142857"/>
    <n v="1.8668784174975876"/>
    <n v="66.332857142857137"/>
  </r>
  <r>
    <d v="2024-10-26T00:00:00"/>
    <x v="0"/>
    <x v="0"/>
    <s v="kids educational toys sale"/>
    <n v="24014"/>
    <n v="827"/>
    <n v="693.51"/>
    <n v="35"/>
    <n v="2595.9299999999998"/>
    <n v="4.2321644498186215"/>
    <n v="19.81457142857143"/>
    <n v="3.7431760176493487"/>
    <n v="74.169428571428568"/>
  </r>
  <r>
    <d v="2024-10-26T00:00:00"/>
    <x v="0"/>
    <x v="1"/>
    <s v="men leather jacket sale"/>
    <n v="44215"/>
    <n v="1977"/>
    <n v="2294.41"/>
    <n v="103"/>
    <n v="2812.84"/>
    <n v="5.2099140111279718"/>
    <n v="22.275825242718444"/>
    <n v="1.2259535131035866"/>
    <n v="27.309126213592233"/>
  </r>
  <r>
    <d v="2024-10-26T00:00:00"/>
    <x v="0"/>
    <x v="2"/>
    <s v="kids educational toys sale"/>
    <n v="3929"/>
    <n v="164"/>
    <n v="313.81"/>
    <n v="11"/>
    <n v="736.64"/>
    <n v="6.7073170731707323"/>
    <n v="28.528181818181817"/>
    <n v="2.3474076670596857"/>
    <n v="66.967272727272729"/>
  </r>
  <r>
    <d v="2024-10-26T00:00:00"/>
    <x v="1"/>
    <x v="0"/>
    <s v="best wireless earbuds deals"/>
    <n v="18570"/>
    <n v="668"/>
    <n v="1131.32"/>
    <n v="13"/>
    <n v="4228.41"/>
    <n v="1.9461077844311379"/>
    <n v="87.024615384615373"/>
    <n v="3.7375897182052822"/>
    <n v="325.26230769230767"/>
  </r>
  <r>
    <d v="2024-10-26T00:00:00"/>
    <x v="1"/>
    <x v="1"/>
    <s v="handmade ceramic mug buy now"/>
    <n v="55106"/>
    <n v="1327"/>
    <n v="2621.67"/>
    <n v="168"/>
    <n v="12342.31"/>
    <n v="12.660135644310474"/>
    <n v="15.605178571428572"/>
    <n v="4.707804567317778"/>
    <n v="73.466130952380951"/>
  </r>
  <r>
    <d v="2024-10-26T00:00:00"/>
    <x v="1"/>
    <x v="2"/>
    <s v="organic coffee pods fast shipping"/>
    <n v="7654"/>
    <n v="80"/>
    <n v="273.55"/>
    <n v="10"/>
    <n v="710.32"/>
    <n v="12.5"/>
    <n v="27.355"/>
    <n v="2.5966733686711754"/>
    <n v="71.032000000000011"/>
  </r>
  <r>
    <d v="2024-10-26T00:00:00"/>
    <x v="2"/>
    <x v="0"/>
    <s v="wireless headphones discount"/>
    <n v="17180"/>
    <n v="436"/>
    <n v="873.82"/>
    <n v="39"/>
    <n v="3531.45"/>
    <n v="8.9449541284403669"/>
    <n v="22.405641025641028"/>
    <n v="4.0413929642260413"/>
    <n v="90.55"/>
  </r>
  <r>
    <d v="2024-10-26T00:00:00"/>
    <x v="2"/>
    <x v="1"/>
    <s v="4k smart TV discount"/>
    <n v="62252"/>
    <n v="2437"/>
    <n v="3196.94"/>
    <n v="160"/>
    <n v="13036.9"/>
    <n v="6.5654493229380382"/>
    <n v="19.980875000000001"/>
    <n v="4.0779307713000552"/>
    <n v="81.480625000000003"/>
  </r>
  <r>
    <d v="2024-10-26T00:00:00"/>
    <x v="2"/>
    <x v="2"/>
    <s v="wireless headphones discount"/>
    <n v="4027"/>
    <n v="224"/>
    <n v="314.16000000000003"/>
    <n v="3"/>
    <n v="1004.35"/>
    <n v="1.3392857142857142"/>
    <n v="104.72000000000001"/>
    <n v="3.1969378660555128"/>
    <n v="334.78333333333336"/>
  </r>
  <r>
    <d v="2024-10-26T00:00:00"/>
    <x v="3"/>
    <x v="0"/>
    <s v="new year party dress"/>
    <n v="12559"/>
    <n v="877"/>
    <n v="434.65"/>
    <n v="45"/>
    <n v="2012.85"/>
    <n v="5.131128848346636"/>
    <n v="9.6588888888888889"/>
    <n v="4.6309674450707465"/>
    <n v="44.73"/>
  </r>
  <r>
    <d v="2024-10-26T00:00:00"/>
    <x v="3"/>
    <x v="1"/>
    <s v="christmas decor sale"/>
    <n v="44820"/>
    <n v="1336"/>
    <n v="2312.4699999999998"/>
    <n v="173"/>
    <n v="6657.59"/>
    <n v="12.949101796407186"/>
    <n v="13.366878612716762"/>
    <n v="2.878995186964588"/>
    <n v="38.483179190751443"/>
  </r>
  <r>
    <d v="2024-10-26T00:00:00"/>
    <x v="3"/>
    <x v="2"/>
    <s v="christmas decor sale"/>
    <n v="7872"/>
    <n v="199"/>
    <n v="221.09"/>
    <n v="17"/>
    <n v="639.58000000000004"/>
    <n v="8.5427135678391952"/>
    <n v="13.005294117647059"/>
    <n v="2.8928490659912254"/>
    <n v="37.622352941176473"/>
  </r>
  <r>
    <d v="2024-10-27T00:00:00"/>
    <x v="0"/>
    <x v="0"/>
    <s v="buy summer dress sale"/>
    <n v="24858"/>
    <n v="435"/>
    <n v="915.9"/>
    <n v="39"/>
    <n v="3061.73"/>
    <n v="8.9655172413793096"/>
    <n v="23.484615384615385"/>
    <n v="3.3428649415875098"/>
    <n v="78.505897435897438"/>
  </r>
  <r>
    <d v="2024-10-27T00:00:00"/>
    <x v="0"/>
    <x v="1"/>
    <s v="kids educational toys sale"/>
    <n v="55196"/>
    <n v="2481"/>
    <n v="1087.08"/>
    <n v="105"/>
    <n v="4677.1899999999996"/>
    <n v="4.2321644498186215"/>
    <n v="10.353142857142856"/>
    <n v="4.3025260330426462"/>
    <n v="44.544666666666664"/>
  </r>
  <r>
    <d v="2024-10-27T00:00:00"/>
    <x v="0"/>
    <x v="2"/>
    <s v="men leather jacket sale"/>
    <n v="6737"/>
    <n v="68"/>
    <n v="65.849999999999994"/>
    <n v="12"/>
    <n v="254.28"/>
    <n v="17.647058823529413"/>
    <n v="5.4874999999999998"/>
    <n v="3.8615034168564923"/>
    <n v="21.19"/>
  </r>
  <r>
    <d v="2024-10-27T00:00:00"/>
    <x v="1"/>
    <x v="0"/>
    <s v="best wireless earbuds deals"/>
    <n v="12261"/>
    <n v="783"/>
    <n v="338.08"/>
    <n v="36"/>
    <n v="636.91999999999996"/>
    <n v="4.5977011494252871"/>
    <n v="9.3911111111111101"/>
    <n v="1.883932796971131"/>
    <n v="17.69222222222222"/>
  </r>
  <r>
    <d v="2024-10-27T00:00:00"/>
    <x v="1"/>
    <x v="1"/>
    <s v="discount leather backpack"/>
    <n v="62548"/>
    <n v="1766"/>
    <n v="4971.43"/>
    <n v="137"/>
    <n v="14439.23"/>
    <n v="7.7576443941109847"/>
    <n v="36.287810218978102"/>
    <n v="2.9044419814821891"/>
    <n v="105.39583941605839"/>
  </r>
  <r>
    <d v="2024-10-27T00:00:00"/>
    <x v="1"/>
    <x v="2"/>
    <s v="handmade ceramic mug buy now"/>
    <n v="5077"/>
    <n v="70"/>
    <n v="288.95999999999998"/>
    <n v="18"/>
    <n v="492.78"/>
    <n v="25.714285714285712"/>
    <n v="16.053333333333331"/>
    <n v="1.7053571428571428"/>
    <n v="27.376666666666665"/>
  </r>
  <r>
    <d v="2024-10-27T00:00:00"/>
    <x v="2"/>
    <x v="0"/>
    <s v="4k smart TV discount"/>
    <n v="13887"/>
    <n v="482"/>
    <n v="1491.42"/>
    <n v="35"/>
    <n v="4786.8599999999997"/>
    <n v="7.2614107883817436"/>
    <n v="42.612000000000002"/>
    <n v="3.2095989057408372"/>
    <n v="136.76742857142855"/>
  </r>
  <r>
    <d v="2024-10-27T00:00:00"/>
    <x v="2"/>
    <x v="1"/>
    <s v="wireless headphones discount"/>
    <n v="35227"/>
    <n v="2548"/>
    <n v="1090.94"/>
    <n v="116"/>
    <n v="3228.54"/>
    <n v="4.5525902668759812"/>
    <n v="9.4046551724137935"/>
    <n v="2.9594111500174161"/>
    <n v="27.832241379310343"/>
  </r>
  <r>
    <d v="2024-10-27T00:00:00"/>
    <x v="2"/>
    <x v="2"/>
    <s v="men leather jacket sale"/>
    <n v="6357"/>
    <n v="147"/>
    <n v="338.18"/>
    <n v="8"/>
    <n v="997.76"/>
    <n v="5.4421768707482991"/>
    <n v="42.272500000000001"/>
    <n v="2.9503814536637294"/>
    <n v="124.72"/>
  </r>
  <r>
    <d v="2024-10-27T00:00:00"/>
    <x v="3"/>
    <x v="0"/>
    <s v="christmas decor sale"/>
    <n v="19032"/>
    <n v="493"/>
    <n v="1424.89"/>
    <n v="56"/>
    <n v="5854.68"/>
    <n v="11.359026369168356"/>
    <n v="25.444464285714286"/>
    <n v="4.1088645439297071"/>
    <n v="104.54785714285715"/>
  </r>
  <r>
    <d v="2024-10-27T00:00:00"/>
    <x v="3"/>
    <x v="1"/>
    <s v="holiday gift ideas under 50"/>
    <n v="62475"/>
    <n v="2259"/>
    <n v="4064.21"/>
    <n v="44"/>
    <n v="8593.9"/>
    <n v="1.9477644975652944"/>
    <n v="92.368409090909097"/>
    <n v="2.1145314833633102"/>
    <n v="195.31590909090909"/>
  </r>
  <r>
    <d v="2024-10-27T00:00:00"/>
    <x v="3"/>
    <x v="2"/>
    <s v="holiday gift ideas under 50"/>
    <n v="2826"/>
    <n v="202"/>
    <n v="61.75"/>
    <n v="20"/>
    <n v="231.79"/>
    <n v="9.9009900990099009"/>
    <n v="3.0874999999999999"/>
    <n v="3.7536842105263157"/>
    <n v="11.589499999999999"/>
  </r>
  <r>
    <d v="2024-10-28T00:00:00"/>
    <x v="0"/>
    <x v="0"/>
    <s v="buy summer dress sale"/>
    <n v="18019"/>
    <n v="345"/>
    <n v="782.72"/>
    <n v="24"/>
    <n v="2544.69"/>
    <n v="6.9565217391304346"/>
    <n v="32.613333333333337"/>
    <n v="3.2510859566639412"/>
    <n v="106.02875"/>
  </r>
  <r>
    <d v="2024-10-28T00:00:00"/>
    <x v="0"/>
    <x v="1"/>
    <s v="buy summer dress sale"/>
    <n v="44183"/>
    <n v="2031"/>
    <n v="4973.93"/>
    <n v="99"/>
    <n v="21387.84"/>
    <n v="4.8744460856720826"/>
    <n v="50.241717171717177"/>
    <n v="4.2999881381523259"/>
    <n v="216.03878787878787"/>
  </r>
  <r>
    <d v="2024-10-28T00:00:00"/>
    <x v="0"/>
    <x v="2"/>
    <s v="discount leather backpack"/>
    <n v="6730"/>
    <n v="203"/>
    <n v="320.39"/>
    <n v="11"/>
    <n v="672.89"/>
    <n v="5.4187192118226601"/>
    <n v="29.126363636363635"/>
    <n v="2.100221604919005"/>
    <n v="61.171818181818182"/>
  </r>
  <r>
    <d v="2024-10-28T00:00:00"/>
    <x v="1"/>
    <x v="0"/>
    <s v="discount leather backpack"/>
    <n v="27080"/>
    <n v="526"/>
    <n v="796.27"/>
    <n v="27"/>
    <n v="1139.97"/>
    <n v="5.1330798479087454"/>
    <n v="29.491481481481483"/>
    <n v="1.4316375098898615"/>
    <n v="42.221111111111114"/>
  </r>
  <r>
    <d v="2024-10-28T00:00:00"/>
    <x v="1"/>
    <x v="1"/>
    <s v="discount leather backpack"/>
    <n v="62997"/>
    <n v="2138"/>
    <n v="2982.48"/>
    <n v="128"/>
    <n v="14250.37"/>
    <n v="5.9869036482694105"/>
    <n v="23.300625"/>
    <n v="4.778027011078029"/>
    <n v="111.33101562500001"/>
  </r>
  <r>
    <d v="2024-10-28T00:00:00"/>
    <x v="1"/>
    <x v="2"/>
    <s v="handmade ceramic mug buy now"/>
    <n v="6296"/>
    <n v="131"/>
    <n v="293.70999999999998"/>
    <n v="14"/>
    <n v="518.99"/>
    <n v="10.687022900763358"/>
    <n v="20.979285714285712"/>
    <n v="1.7670150829049063"/>
    <n v="37.070714285714288"/>
  </r>
  <r>
    <d v="2024-10-28T00:00:00"/>
    <x v="2"/>
    <x v="0"/>
    <s v="men leather jacket sale"/>
    <n v="16025"/>
    <n v="850"/>
    <n v="868.22"/>
    <n v="24"/>
    <n v="2034.06"/>
    <n v="2.8235294117647061"/>
    <n v="36.175833333333337"/>
    <n v="2.3427933012370135"/>
    <n v="84.752499999999998"/>
  </r>
  <r>
    <d v="2024-10-28T00:00:00"/>
    <x v="2"/>
    <x v="1"/>
    <s v="wireless headphones discount"/>
    <n v="65344"/>
    <n v="2873"/>
    <n v="1230.5"/>
    <n v="145"/>
    <n v="6001.87"/>
    <n v="5.0469892098851377"/>
    <n v="8.4862068965517246"/>
    <n v="4.8775863470134091"/>
    <n v="41.392206896551727"/>
  </r>
  <r>
    <d v="2024-10-28T00:00:00"/>
    <x v="2"/>
    <x v="2"/>
    <s v="wireless headphones discount"/>
    <n v="5181"/>
    <n v="112"/>
    <n v="139.25"/>
    <n v="11"/>
    <n v="509.3"/>
    <n v="9.8214285714285712"/>
    <n v="12.659090909090908"/>
    <n v="3.6574506283662478"/>
    <n v="46.300000000000004"/>
  </r>
  <r>
    <d v="2024-10-28T00:00:00"/>
    <x v="3"/>
    <x v="0"/>
    <s v="winter boots discount"/>
    <n v="22159"/>
    <n v="394"/>
    <n v="942.76"/>
    <n v="22"/>
    <n v="1315.94"/>
    <n v="5.5837563451776653"/>
    <n v="42.852727272727272"/>
    <n v="1.3958377529806103"/>
    <n v="59.81545454545455"/>
  </r>
  <r>
    <d v="2024-10-28T00:00:00"/>
    <x v="3"/>
    <x v="1"/>
    <s v="winter boots discount"/>
    <n v="37591"/>
    <n v="2789"/>
    <n v="1291.1400000000001"/>
    <n v="245"/>
    <n v="5286.5"/>
    <n v="8.784510577267838"/>
    <n v="5.2699591836734694"/>
    <n v="4.0944436699350959"/>
    <n v="21.577551020408162"/>
  </r>
  <r>
    <d v="2024-10-28T00:00:00"/>
    <x v="3"/>
    <x v="2"/>
    <s v="christmas decor sale"/>
    <n v="5927"/>
    <n v="103"/>
    <n v="354.32"/>
    <n v="11"/>
    <n v="833.4"/>
    <n v="10.679611650485436"/>
    <n v="32.210909090909091"/>
    <n v="2.3521110860239332"/>
    <n v="75.763636363636365"/>
  </r>
  <r>
    <d v="2024-10-29T00:00:00"/>
    <x v="0"/>
    <x v="0"/>
    <s v="buy summer dress sale"/>
    <n v="16940"/>
    <n v="494"/>
    <n v="1454.49"/>
    <n v="17"/>
    <n v="5873.44"/>
    <n v="3.4412955465587043"/>
    <n v="85.558235294117651"/>
    <n v="4.0381439542382553"/>
    <n v="345.4964705882353"/>
  </r>
  <r>
    <d v="2024-10-29T00:00:00"/>
    <x v="0"/>
    <x v="1"/>
    <s v="kids educational toys sale"/>
    <n v="50898"/>
    <n v="2424"/>
    <n v="3417.61"/>
    <n v="92"/>
    <n v="9252.16"/>
    <n v="3.7953795379537953"/>
    <n v="37.147934782608694"/>
    <n v="2.7072018164740856"/>
    <n v="100.56695652173913"/>
  </r>
  <r>
    <d v="2024-10-29T00:00:00"/>
    <x v="0"/>
    <x v="2"/>
    <s v="men leather jacket sale"/>
    <n v="6522"/>
    <n v="132"/>
    <n v="321.43"/>
    <n v="13"/>
    <n v="955.21"/>
    <n v="9.8484848484848477"/>
    <n v="24.725384615384616"/>
    <n v="2.9717512366611705"/>
    <n v="73.477692307692308"/>
  </r>
  <r>
    <d v="2024-10-29T00:00:00"/>
    <x v="1"/>
    <x v="0"/>
    <s v="organic coffee pods fast shipping"/>
    <n v="20106"/>
    <n v="567"/>
    <n v="731.57"/>
    <n v="41"/>
    <n v="2173.36"/>
    <n v="7.2310405643738971"/>
    <n v="17.843170731707318"/>
    <n v="2.9708161898382928"/>
    <n v="53.008780487804884"/>
  </r>
  <r>
    <d v="2024-10-29T00:00:00"/>
    <x v="1"/>
    <x v="1"/>
    <s v="handmade ceramic mug buy now"/>
    <n v="55986"/>
    <n v="2872"/>
    <n v="1812.51"/>
    <n v="120"/>
    <n v="5025.97"/>
    <n v="4.1782729805013927"/>
    <n v="15.10425"/>
    <n v="2.7729336665728743"/>
    <n v="41.883083333333339"/>
  </r>
  <r>
    <d v="2024-10-29T00:00:00"/>
    <x v="1"/>
    <x v="2"/>
    <s v="discount leather backpack"/>
    <n v="3195"/>
    <n v="54"/>
    <n v="141.27000000000001"/>
    <n v="19"/>
    <n v="480.42"/>
    <n v="35.185185185185183"/>
    <n v="7.4352631578947372"/>
    <n v="3.4007220216606497"/>
    <n v="25.285263157894736"/>
  </r>
  <r>
    <d v="2024-10-29T00:00:00"/>
    <x v="2"/>
    <x v="0"/>
    <s v="men leather jacket sale"/>
    <n v="19672"/>
    <n v="456"/>
    <n v="535.42999999999995"/>
    <n v="24"/>
    <n v="1415.35"/>
    <n v="5.2631578947368416"/>
    <n v="22.309583333333332"/>
    <n v="2.6433894253217041"/>
    <n v="58.972916666666663"/>
  </r>
  <r>
    <d v="2024-10-29T00:00:00"/>
    <x v="2"/>
    <x v="1"/>
    <s v="wireless headphones discount"/>
    <n v="67722"/>
    <n v="2127"/>
    <n v="3618.43"/>
    <n v="215"/>
    <n v="8983.64"/>
    <n v="10.108133521391631"/>
    <n v="16.829906976744184"/>
    <n v="2.4827452790298556"/>
    <n v="41.784372093023251"/>
  </r>
  <r>
    <d v="2024-10-29T00:00:00"/>
    <x v="2"/>
    <x v="2"/>
    <s v="men leather jacket sale"/>
    <n v="7927"/>
    <n v="214"/>
    <n v="308.86"/>
    <n v="15"/>
    <n v="568.08000000000004"/>
    <n v="7.009345794392523"/>
    <n v="20.590666666666667"/>
    <n v="1.8392799326555722"/>
    <n v="37.872"/>
  </r>
  <r>
    <d v="2024-10-29T00:00:00"/>
    <x v="3"/>
    <x v="0"/>
    <s v="new year party dress"/>
    <n v="15546"/>
    <n v="443"/>
    <n v="1164.3800000000001"/>
    <n v="41"/>
    <n v="2211.6"/>
    <n v="9.255079006772009"/>
    <n v="28.399512195121954"/>
    <n v="1.8993799275150722"/>
    <n v="53.941463414634143"/>
  </r>
  <r>
    <d v="2024-10-29T00:00:00"/>
    <x v="3"/>
    <x v="1"/>
    <s v="holiday gift ideas under 50"/>
    <n v="69337"/>
    <n v="1069"/>
    <n v="4356.2700000000004"/>
    <n v="59"/>
    <n v="20874"/>
    <n v="5.5191768007483626"/>
    <n v="73.835084745762714"/>
    <n v="4.7917140122168735"/>
    <n v="353.79661016949154"/>
  </r>
  <r>
    <d v="2024-10-29T00:00:00"/>
    <x v="3"/>
    <x v="2"/>
    <s v="holiday gift ideas under 50"/>
    <n v="2052"/>
    <n v="155"/>
    <n v="98.12"/>
    <n v="8"/>
    <n v="143.09"/>
    <n v="5.161290322580645"/>
    <n v="12.265000000000001"/>
    <n v="1.4583163473298002"/>
    <n v="17.88625"/>
  </r>
  <r>
    <d v="2024-10-30T00:00:00"/>
    <x v="0"/>
    <x v="0"/>
    <s v="men leather jacket sale"/>
    <n v="10299"/>
    <n v="523"/>
    <n v="906.88"/>
    <n v="33"/>
    <n v="1296.58"/>
    <n v="6.3097514340344159"/>
    <n v="27.481212121212121"/>
    <n v="1.4297150670430485"/>
    <n v="39.290303030303029"/>
  </r>
  <r>
    <d v="2024-10-30T00:00:00"/>
    <x v="0"/>
    <x v="1"/>
    <s v="kids educational toys sale"/>
    <n v="66972"/>
    <n v="1032"/>
    <n v="1026.45"/>
    <n v="181"/>
    <n v="2836.17"/>
    <n v="17.538759689922482"/>
    <n v="5.670994475138122"/>
    <n v="2.76308636562911"/>
    <n v="15.669447513812155"/>
  </r>
  <r>
    <d v="2024-10-30T00:00:00"/>
    <x v="0"/>
    <x v="2"/>
    <s v="buy summer dress sale"/>
    <n v="6336"/>
    <n v="234"/>
    <n v="146.16"/>
    <n v="10"/>
    <n v="184.91"/>
    <n v="4.2735042735042734"/>
    <n v="14.616"/>
    <n v="1.2651204159824849"/>
    <n v="18.491"/>
  </r>
  <r>
    <d v="2024-10-30T00:00:00"/>
    <x v="1"/>
    <x v="0"/>
    <s v="handmade ceramic mug buy now"/>
    <n v="15874"/>
    <n v="409"/>
    <n v="1401.66"/>
    <n v="43"/>
    <n v="2475.0700000000002"/>
    <n v="10.513447432762836"/>
    <n v="32.596744186046514"/>
    <n v="1.7658133926915229"/>
    <n v="57.559767441860465"/>
  </r>
  <r>
    <d v="2024-10-30T00:00:00"/>
    <x v="1"/>
    <x v="1"/>
    <s v="discount leather backpack"/>
    <n v="69501"/>
    <n v="1516"/>
    <n v="4260.8599999999997"/>
    <n v="108"/>
    <n v="17984.060000000001"/>
    <n v="7.1240105540897103"/>
    <n v="39.452407407407406"/>
    <n v="4.2207582506817882"/>
    <n v="166.5190740740741"/>
  </r>
  <r>
    <d v="2024-10-30T00:00:00"/>
    <x v="1"/>
    <x v="2"/>
    <s v="best wireless earbuds deals"/>
    <n v="5056"/>
    <n v="153"/>
    <n v="210.65"/>
    <n v="8"/>
    <n v="1045.43"/>
    <n v="5.2287581699346406"/>
    <n v="26.331250000000001"/>
    <n v="4.9628768098741993"/>
    <n v="130.67875000000001"/>
  </r>
  <r>
    <d v="2024-10-30T00:00:00"/>
    <x v="2"/>
    <x v="0"/>
    <s v="wireless headphones discount"/>
    <n v="19829"/>
    <n v="382"/>
    <n v="1084.48"/>
    <n v="51"/>
    <n v="4431.6499999999996"/>
    <n v="13.350785340314136"/>
    <n v="21.264313725490197"/>
    <n v="4.0864285187370903"/>
    <n v="86.895098039215682"/>
  </r>
  <r>
    <d v="2024-10-30T00:00:00"/>
    <x v="2"/>
    <x v="1"/>
    <s v="best gaming laptop deals"/>
    <n v="61560"/>
    <n v="1776"/>
    <n v="2508.6799999999998"/>
    <n v="161"/>
    <n v="3545.36"/>
    <n v="9.0653153153153152"/>
    <n v="15.581863354037266"/>
    <n v="1.4132372403016726"/>
    <n v="22.020869565217392"/>
  </r>
  <r>
    <d v="2024-10-30T00:00:00"/>
    <x v="2"/>
    <x v="2"/>
    <s v="best gaming laptop deals"/>
    <n v="7757"/>
    <n v="93"/>
    <n v="78.94"/>
    <n v="14"/>
    <n v="288.18"/>
    <n v="15.053763440860216"/>
    <n v="5.6385714285714288"/>
    <n v="3.6506207246009628"/>
    <n v="20.584285714285716"/>
  </r>
  <r>
    <d v="2024-10-30T00:00:00"/>
    <x v="3"/>
    <x v="0"/>
    <s v="new year party dress"/>
    <n v="28541"/>
    <n v="397"/>
    <n v="1373.75"/>
    <n v="12"/>
    <n v="2847.94"/>
    <n v="3.0226700251889169"/>
    <n v="114.47916666666667"/>
    <n v="2.0731137397634214"/>
    <n v="237.32833333333335"/>
  </r>
  <r>
    <d v="2024-10-30T00:00:00"/>
    <x v="3"/>
    <x v="1"/>
    <s v="winter boots discount"/>
    <n v="52766"/>
    <n v="1095"/>
    <n v="4696.6400000000003"/>
    <n v="215"/>
    <n v="22155.09"/>
    <n v="19.634703196347029"/>
    <n v="21.844837209302327"/>
    <n v="4.7172212475301487"/>
    <n v="103.04693023255814"/>
  </r>
  <r>
    <d v="2024-10-30T00:00:00"/>
    <x v="3"/>
    <x v="2"/>
    <s v="holiday gift ideas under 50"/>
    <n v="3469"/>
    <n v="130"/>
    <n v="55.48"/>
    <n v="7"/>
    <n v="190.34"/>
    <n v="5.384615384615385"/>
    <n v="7.9257142857142853"/>
    <n v="3.4307858687815433"/>
    <n v="27.191428571428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6B4297-1CF7-4CFC-812A-F838ED7437D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0:C25" firstHeaderRow="1" firstDataRow="1" firstDataCol="1"/>
  <pivotFields count="13">
    <pivotField numFmtId="14" showAll="0"/>
    <pivotField axis="axisRow" showAll="0">
      <items count="5">
        <item x="1"/>
        <item x="0"/>
        <item x="2"/>
        <item x="3"/>
        <item t="default"/>
      </items>
    </pivotField>
    <pivotField showAll="0">
      <items count="4">
        <item x="0"/>
        <item x="1"/>
        <item x="2"/>
        <item t="default"/>
      </items>
    </pivotField>
    <pivotField showAll="0"/>
    <pivotField showAll="0"/>
    <pivotField showAll="0"/>
    <pivotField showAll="0"/>
    <pivotField showAll="0"/>
    <pivotField showAll="0"/>
    <pivotField dataField="1" numFmtId="164" showAll="0"/>
    <pivotField numFmtId="164" showAll="0"/>
    <pivotField numFmtId="164" showAll="0"/>
    <pivotField numFmtId="164" showAll="0"/>
  </pivotFields>
  <rowFields count="1">
    <field x="1"/>
  </rowFields>
  <rowItems count="5">
    <i>
      <x/>
    </i>
    <i>
      <x v="1"/>
    </i>
    <i>
      <x v="2"/>
    </i>
    <i>
      <x v="3"/>
    </i>
    <i t="grand">
      <x/>
    </i>
  </rowItems>
  <colItems count="1">
    <i/>
  </colItems>
  <dataFields count="1">
    <dataField name="Average of CVR" fld="9" subtotal="average" baseField="1"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2B499F-34D2-456E-82D3-39CBDEEDA2B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12:C17" firstHeaderRow="1" firstDataRow="1" firstDataCol="1"/>
  <pivotFields count="13">
    <pivotField numFmtId="14" showAll="0"/>
    <pivotField axis="axisRow" showAll="0">
      <items count="5">
        <item x="1"/>
        <item x="0"/>
        <item x="2"/>
        <item x="3"/>
        <item t="default"/>
      </items>
    </pivotField>
    <pivotField showAll="0">
      <items count="4">
        <item x="0"/>
        <item x="1"/>
        <item x="2"/>
        <item t="default"/>
      </items>
    </pivotField>
    <pivotField showAll="0"/>
    <pivotField showAll="0"/>
    <pivotField showAll="0"/>
    <pivotField showAll="0"/>
    <pivotField showAll="0"/>
    <pivotField showAll="0"/>
    <pivotField numFmtId="164" showAll="0"/>
    <pivotField dataField="1" numFmtId="164" showAll="0"/>
    <pivotField numFmtId="164" showAll="0"/>
    <pivotField numFmtId="164" showAll="0"/>
  </pivotFields>
  <rowFields count="1">
    <field x="1"/>
  </rowFields>
  <rowItems count="5">
    <i>
      <x/>
    </i>
    <i>
      <x v="1"/>
    </i>
    <i>
      <x v="2"/>
    </i>
    <i>
      <x v="3"/>
    </i>
    <i t="grand">
      <x/>
    </i>
  </rowItems>
  <colItems count="1">
    <i/>
  </colItems>
  <dataFields count="1">
    <dataField name="Average of CPA" fld="10" subtotal="average" baseField="1" baseItem="0"/>
  </dataFields>
  <formats count="3">
    <format dxfId="3">
      <pivotArea collapsedLevelsAreSubtotals="1" fieldPosition="0">
        <references count="1">
          <reference field="1" count="1">
            <x v="0"/>
          </reference>
        </references>
      </pivotArea>
    </format>
    <format dxfId="2">
      <pivotArea collapsedLevelsAreSubtotals="1" fieldPosition="0">
        <references count="1">
          <reference field="1" count="3">
            <x v="1"/>
            <x v="2"/>
            <x v="3"/>
          </reference>
        </references>
      </pivotArea>
    </format>
    <format dxfId="1">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10DEAB-2987-4D09-8C36-BCBE2BAA631F}" name="Campaig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4:C9" firstHeaderRow="1" firstDataRow="1" firstDataCol="1"/>
  <pivotFields count="13">
    <pivotField numFmtId="14" showAll="0"/>
    <pivotField axis="axisRow" showAll="0">
      <items count="5">
        <item x="1"/>
        <item x="0"/>
        <item x="2"/>
        <item x="3"/>
        <item t="default"/>
      </items>
    </pivotField>
    <pivotField showAll="0">
      <items count="4">
        <item x="0"/>
        <item x="1"/>
        <item x="2"/>
        <item t="default"/>
      </items>
    </pivotField>
    <pivotField showAll="0"/>
    <pivotField showAll="0"/>
    <pivotField showAll="0"/>
    <pivotField showAll="0"/>
    <pivotField dataField="1" showAll="0"/>
    <pivotField showAll="0"/>
    <pivotField numFmtId="164" showAll="0"/>
    <pivotField numFmtId="164" showAll="0"/>
    <pivotField numFmtId="164" showAll="0"/>
    <pivotField numFmtId="164" showAll="0"/>
  </pivotFields>
  <rowFields count="1">
    <field x="1"/>
  </rowFields>
  <rowItems count="5">
    <i>
      <x/>
    </i>
    <i>
      <x v="1"/>
    </i>
    <i>
      <x v="2"/>
    </i>
    <i>
      <x v="3"/>
    </i>
    <i t="grand">
      <x/>
    </i>
  </rowItems>
  <colItems count="1">
    <i/>
  </colItems>
  <dataFields count="1">
    <dataField name="Sum of Conversion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AB977F-7DD0-4239-8436-08B96A82823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36:C40" firstHeaderRow="1" firstDataRow="1" firstDataCol="1"/>
  <pivotFields count="13">
    <pivotField numFmtId="14" showAll="0"/>
    <pivotField showAll="0">
      <items count="5">
        <item x="1"/>
        <item x="0"/>
        <item x="2"/>
        <item x="3"/>
        <item t="default"/>
      </items>
    </pivotField>
    <pivotField axis="axisRow" showAll="0">
      <items count="4">
        <item x="0"/>
        <item x="1"/>
        <item x="2"/>
        <item t="default"/>
      </items>
    </pivotField>
    <pivotField showAll="0"/>
    <pivotField showAll="0"/>
    <pivotField showAll="0"/>
    <pivotField showAll="0"/>
    <pivotField showAll="0"/>
    <pivotField showAll="0"/>
    <pivotField dataField="1" numFmtId="164" showAll="0"/>
    <pivotField numFmtId="164" showAll="0"/>
    <pivotField numFmtId="164" showAll="0"/>
    <pivotField numFmtId="164" showAll="0"/>
  </pivotFields>
  <rowFields count="1">
    <field x="2"/>
  </rowFields>
  <rowItems count="4">
    <i>
      <x/>
    </i>
    <i>
      <x v="1"/>
    </i>
    <i>
      <x v="2"/>
    </i>
    <i t="grand">
      <x/>
    </i>
  </rowItems>
  <colItems count="1">
    <i/>
  </colItems>
  <dataFields count="1">
    <dataField name="Average of CVR" fld="9" subtotal="average" baseField="2" baseItem="0" numFmtId="164"/>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76B40D-C6AC-4BC7-B0EC-22093263760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8:C33" firstHeaderRow="1" firstDataRow="1" firstDataCol="1"/>
  <pivotFields count="13">
    <pivotField numFmtId="14" showAll="0"/>
    <pivotField axis="axisRow" showAll="0">
      <items count="5">
        <item x="1"/>
        <item x="0"/>
        <item x="2"/>
        <item x="3"/>
        <item t="default"/>
      </items>
    </pivotField>
    <pivotField showAll="0">
      <items count="4">
        <item x="0"/>
        <item x="1"/>
        <item x="2"/>
        <item t="default"/>
      </items>
    </pivotField>
    <pivotField showAll="0"/>
    <pivotField showAll="0"/>
    <pivotField showAll="0"/>
    <pivotField showAll="0"/>
    <pivotField showAll="0"/>
    <pivotField showAll="0"/>
    <pivotField numFmtId="164" showAll="0"/>
    <pivotField numFmtId="164" showAll="0"/>
    <pivotField dataField="1" numFmtId="164" showAll="0"/>
    <pivotField numFmtId="164" showAll="0"/>
  </pivotFields>
  <rowFields count="1">
    <field x="1"/>
  </rowFields>
  <rowItems count="5">
    <i>
      <x/>
    </i>
    <i>
      <x v="1"/>
    </i>
    <i>
      <x v="2"/>
    </i>
    <i>
      <x v="3"/>
    </i>
    <i t="grand">
      <x/>
    </i>
  </rowItems>
  <colItems count="1">
    <i/>
  </colItems>
  <dataFields count="1">
    <dataField name="Average of ROAS" fld="11" subtotal="average" baseField="1"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220C26DC-A0A2-4A8A-8FCC-EA0DDEE77CED}" sourceName="Campaign">
  <pivotTables>
    <pivotTable tabId="2" name="Campaign"/>
    <pivotTable tabId="2" name="PivotTable2"/>
    <pivotTable tabId="2" name="PivotTable3"/>
    <pivotTable tabId="2" name="PivotTable4"/>
    <pivotTable tabId="2" name="PivotTable5"/>
  </pivotTables>
  <data>
    <tabular pivotCacheId="266017007">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1EEEF6CE-4D2C-4AC3-A8C0-DF756E2A523F}" sourceName="Device">
  <pivotTables>
    <pivotTable tabId="2" name="PivotTable5"/>
    <pivotTable tabId="2" name="Campaign"/>
    <pivotTable tabId="2" name="PivotTable2"/>
    <pivotTable tabId="2" name="PivotTable3"/>
    <pivotTable tabId="2" name="PivotTable4"/>
  </pivotTables>
  <data>
    <tabular pivotCacheId="26601700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xr10:uid="{32ADDA19-7C74-4653-9EC8-3B3C4D90CC17}" cache="Slicer_Campaign" caption="Campaign" rowHeight="241300"/>
  <slicer name="Device" xr10:uid="{2238126E-F680-4262-900E-8D0D296FFDE3}" cache="Slicer_Device" caption="Devic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A2120-CB1B-4A3F-97C9-509D9A056CA8}">
  <dimension ref="A1:M361"/>
  <sheetViews>
    <sheetView topLeftCell="E344" workbookViewId="0">
      <selection activeCell="N1" sqref="N1"/>
    </sheetView>
  </sheetViews>
  <sheetFormatPr defaultRowHeight="15" x14ac:dyDescent="0.25"/>
  <cols>
    <col min="1" max="1" width="10.7109375" bestFit="1" customWidth="1"/>
    <col min="2" max="2" width="25.85546875" bestFit="1" customWidth="1"/>
    <col min="3" max="3" width="8.28515625" bestFit="1" customWidth="1"/>
    <col min="4" max="4" width="30.7109375" bestFit="1" customWidth="1"/>
    <col min="5" max="5" width="12.42578125" bestFit="1" customWidth="1"/>
    <col min="8" max="8" width="12.7109375" bestFit="1" customWidth="1"/>
    <col min="10" max="10" width="11.42578125" bestFit="1" customWidth="1"/>
    <col min="13" max="13" width="22.140625" bestFit="1" customWidth="1"/>
  </cols>
  <sheetData>
    <row r="1" spans="1:13" ht="15.75" x14ac:dyDescent="0.25">
      <c r="A1" s="1" t="s">
        <v>0</v>
      </c>
      <c r="B1" s="1" t="s">
        <v>1</v>
      </c>
      <c r="C1" s="1" t="s">
        <v>2</v>
      </c>
      <c r="D1" s="1" t="s">
        <v>3</v>
      </c>
      <c r="E1" s="1" t="s">
        <v>4</v>
      </c>
      <c r="F1" s="1" t="s">
        <v>5</v>
      </c>
      <c r="G1" s="1" t="s">
        <v>6</v>
      </c>
      <c r="H1" s="1" t="s">
        <v>7</v>
      </c>
      <c r="I1" s="1" t="s">
        <v>8</v>
      </c>
      <c r="J1" s="1" t="s">
        <v>30</v>
      </c>
      <c r="K1" s="1" t="s">
        <v>31</v>
      </c>
      <c r="L1" s="1" t="s">
        <v>32</v>
      </c>
      <c r="M1" s="1" t="s">
        <v>33</v>
      </c>
    </row>
    <row r="2" spans="1:13" x14ac:dyDescent="0.25">
      <c r="A2" s="2">
        <v>45566</v>
      </c>
      <c r="B2" t="s">
        <v>9</v>
      </c>
      <c r="C2" t="s">
        <v>10</v>
      </c>
      <c r="D2" t="s">
        <v>11</v>
      </c>
      <c r="E2">
        <v>14176</v>
      </c>
      <c r="F2">
        <v>342</v>
      </c>
      <c r="G2">
        <v>669.91</v>
      </c>
      <c r="H2">
        <v>60</v>
      </c>
      <c r="I2">
        <v>3278.77</v>
      </c>
      <c r="J2" s="3">
        <f>(H2/F2) * 100</f>
        <v>17.543859649122805</v>
      </c>
      <c r="K2" s="3">
        <f xml:space="preserve"> G2/H2</f>
        <v>11.165166666666666</v>
      </c>
      <c r="L2" s="3">
        <f>I2/G2</f>
        <v>4.8943440163604066</v>
      </c>
      <c r="M2" s="3">
        <f>I2/H2</f>
        <v>54.646166666666666</v>
      </c>
    </row>
    <row r="3" spans="1:13" x14ac:dyDescent="0.25">
      <c r="A3" s="2">
        <v>45566</v>
      </c>
      <c r="B3" t="s">
        <v>9</v>
      </c>
      <c r="C3" t="s">
        <v>12</v>
      </c>
      <c r="D3" t="s">
        <v>13</v>
      </c>
      <c r="E3">
        <v>58449</v>
      </c>
      <c r="F3">
        <v>1430</v>
      </c>
      <c r="G3">
        <v>3728.27</v>
      </c>
      <c r="H3">
        <v>210</v>
      </c>
      <c r="I3">
        <v>5930.25</v>
      </c>
      <c r="J3" s="3">
        <f t="shared" ref="J3:J66" si="0">(H3/F3) * 100</f>
        <v>14.685314685314685</v>
      </c>
      <c r="K3" s="3">
        <f t="shared" ref="K3:K66" si="1" xml:space="preserve"> G3/H3</f>
        <v>17.753666666666668</v>
      </c>
      <c r="L3" s="3">
        <f t="shared" ref="L3:L66" si="2">I3/G3</f>
        <v>1.590617095864838</v>
      </c>
      <c r="M3" s="3">
        <f t="shared" ref="M3:M66" si="3">I3/H3</f>
        <v>28.239285714285714</v>
      </c>
    </row>
    <row r="4" spans="1:13" x14ac:dyDescent="0.25">
      <c r="A4" s="2">
        <v>45566</v>
      </c>
      <c r="B4" t="s">
        <v>9</v>
      </c>
      <c r="C4" t="s">
        <v>14</v>
      </c>
      <c r="D4" t="s">
        <v>11</v>
      </c>
      <c r="E4">
        <v>7084</v>
      </c>
      <c r="F4">
        <v>241</v>
      </c>
      <c r="G4">
        <v>104.09</v>
      </c>
      <c r="H4">
        <v>8</v>
      </c>
      <c r="I4">
        <v>466.9</v>
      </c>
      <c r="J4" s="3">
        <f t="shared" si="0"/>
        <v>3.3195020746887969</v>
      </c>
      <c r="K4" s="3">
        <f t="shared" si="1"/>
        <v>13.01125</v>
      </c>
      <c r="L4" s="3">
        <f t="shared" si="2"/>
        <v>4.4855413584398116</v>
      </c>
      <c r="M4" s="3">
        <f t="shared" si="3"/>
        <v>58.362499999999997</v>
      </c>
    </row>
    <row r="5" spans="1:13" x14ac:dyDescent="0.25">
      <c r="A5" s="2">
        <v>45566</v>
      </c>
      <c r="B5" t="s">
        <v>15</v>
      </c>
      <c r="C5" t="s">
        <v>10</v>
      </c>
      <c r="D5" t="s">
        <v>16</v>
      </c>
      <c r="E5">
        <v>23510</v>
      </c>
      <c r="F5">
        <v>325</v>
      </c>
      <c r="G5">
        <v>515.23</v>
      </c>
      <c r="H5">
        <v>31</v>
      </c>
      <c r="I5">
        <v>2150.09</v>
      </c>
      <c r="J5" s="3">
        <f t="shared" si="0"/>
        <v>9.5384615384615383</v>
      </c>
      <c r="K5" s="3">
        <f t="shared" si="1"/>
        <v>16.620322580645162</v>
      </c>
      <c r="L5" s="3">
        <f t="shared" si="2"/>
        <v>4.1730683384119711</v>
      </c>
      <c r="M5" s="3">
        <f t="shared" si="3"/>
        <v>69.357741935483872</v>
      </c>
    </row>
    <row r="6" spans="1:13" x14ac:dyDescent="0.25">
      <c r="A6" s="2">
        <v>45566</v>
      </c>
      <c r="B6" t="s">
        <v>15</v>
      </c>
      <c r="C6" t="s">
        <v>12</v>
      </c>
      <c r="D6" t="s">
        <v>17</v>
      </c>
      <c r="E6">
        <v>51263</v>
      </c>
      <c r="F6">
        <v>1546</v>
      </c>
      <c r="G6">
        <v>1636.79</v>
      </c>
      <c r="H6">
        <v>219</v>
      </c>
      <c r="I6">
        <v>2636.48</v>
      </c>
      <c r="J6" s="3">
        <f t="shared" si="0"/>
        <v>14.165588615782665</v>
      </c>
      <c r="K6" s="3">
        <f t="shared" si="1"/>
        <v>7.4739269406392692</v>
      </c>
      <c r="L6" s="3">
        <f t="shared" si="2"/>
        <v>1.6107625290965855</v>
      </c>
      <c r="M6" s="3">
        <f t="shared" si="3"/>
        <v>12.038721461187215</v>
      </c>
    </row>
    <row r="7" spans="1:13" x14ac:dyDescent="0.25">
      <c r="A7" s="2">
        <v>45566</v>
      </c>
      <c r="B7" t="s">
        <v>15</v>
      </c>
      <c r="C7" t="s">
        <v>14</v>
      </c>
      <c r="D7" t="s">
        <v>18</v>
      </c>
      <c r="E7">
        <v>5855</v>
      </c>
      <c r="F7">
        <v>106</v>
      </c>
      <c r="G7">
        <v>119.85</v>
      </c>
      <c r="H7">
        <v>15</v>
      </c>
      <c r="I7">
        <v>303.06</v>
      </c>
      <c r="J7" s="3">
        <f t="shared" si="0"/>
        <v>14.150943396226415</v>
      </c>
      <c r="K7" s="3">
        <f t="shared" si="1"/>
        <v>7.9899999999999993</v>
      </c>
      <c r="L7" s="3">
        <f t="shared" si="2"/>
        <v>2.5286608260325409</v>
      </c>
      <c r="M7" s="3">
        <f t="shared" si="3"/>
        <v>20.204000000000001</v>
      </c>
    </row>
    <row r="8" spans="1:13" x14ac:dyDescent="0.25">
      <c r="A8" s="2">
        <v>45566</v>
      </c>
      <c r="B8" t="s">
        <v>19</v>
      </c>
      <c r="C8" t="s">
        <v>10</v>
      </c>
      <c r="D8" t="s">
        <v>20</v>
      </c>
      <c r="E8">
        <v>17304</v>
      </c>
      <c r="F8">
        <v>324</v>
      </c>
      <c r="G8">
        <v>1092.04</v>
      </c>
      <c r="H8">
        <v>35</v>
      </c>
      <c r="I8">
        <v>2672.65</v>
      </c>
      <c r="J8" s="3">
        <f t="shared" si="0"/>
        <v>10.802469135802468</v>
      </c>
      <c r="K8" s="3">
        <f t="shared" si="1"/>
        <v>31.201142857142855</v>
      </c>
      <c r="L8" s="3">
        <f t="shared" si="2"/>
        <v>2.4473920369217246</v>
      </c>
      <c r="M8" s="3">
        <f t="shared" si="3"/>
        <v>76.361428571428576</v>
      </c>
    </row>
    <row r="9" spans="1:13" x14ac:dyDescent="0.25">
      <c r="A9" s="2">
        <v>45566</v>
      </c>
      <c r="B9" t="s">
        <v>19</v>
      </c>
      <c r="C9" t="s">
        <v>12</v>
      </c>
      <c r="D9" t="s">
        <v>21</v>
      </c>
      <c r="E9">
        <v>53292</v>
      </c>
      <c r="F9">
        <v>1719</v>
      </c>
      <c r="G9">
        <v>3565.93</v>
      </c>
      <c r="H9">
        <v>142</v>
      </c>
      <c r="I9">
        <v>13486.95</v>
      </c>
      <c r="J9" s="3">
        <f t="shared" si="0"/>
        <v>8.2606166375799894</v>
      </c>
      <c r="K9" s="3">
        <f t="shared" si="1"/>
        <v>25.112183098591547</v>
      </c>
      <c r="L9" s="3">
        <f t="shared" si="2"/>
        <v>3.7821690274346387</v>
      </c>
      <c r="M9" s="3">
        <f t="shared" si="3"/>
        <v>94.978521126760569</v>
      </c>
    </row>
    <row r="10" spans="1:13" x14ac:dyDescent="0.25">
      <c r="A10" s="2">
        <v>45566</v>
      </c>
      <c r="B10" t="s">
        <v>19</v>
      </c>
      <c r="C10" t="s">
        <v>14</v>
      </c>
      <c r="D10" t="s">
        <v>22</v>
      </c>
      <c r="E10">
        <v>2226</v>
      </c>
      <c r="F10">
        <v>79</v>
      </c>
      <c r="G10">
        <v>356.96</v>
      </c>
      <c r="H10">
        <v>9</v>
      </c>
      <c r="I10">
        <v>670.57</v>
      </c>
      <c r="J10" s="3">
        <f t="shared" si="0"/>
        <v>11.39240506329114</v>
      </c>
      <c r="K10" s="3">
        <f t="shared" si="1"/>
        <v>39.662222222222219</v>
      </c>
      <c r="L10" s="3">
        <f t="shared" si="2"/>
        <v>1.8785578216046619</v>
      </c>
      <c r="M10" s="3">
        <f t="shared" si="3"/>
        <v>74.50777777777779</v>
      </c>
    </row>
    <row r="11" spans="1:13" x14ac:dyDescent="0.25">
      <c r="A11" s="2">
        <v>45566</v>
      </c>
      <c r="B11" t="s">
        <v>23</v>
      </c>
      <c r="C11" t="s">
        <v>10</v>
      </c>
      <c r="D11" t="s">
        <v>24</v>
      </c>
      <c r="E11">
        <v>11253</v>
      </c>
      <c r="F11">
        <v>411</v>
      </c>
      <c r="G11">
        <v>1015.89</v>
      </c>
      <c r="H11">
        <v>32</v>
      </c>
      <c r="I11">
        <v>4031.53</v>
      </c>
      <c r="J11" s="3">
        <f t="shared" si="0"/>
        <v>7.785888077858881</v>
      </c>
      <c r="K11" s="3">
        <f t="shared" si="1"/>
        <v>31.7465625</v>
      </c>
      <c r="L11" s="3">
        <f t="shared" si="2"/>
        <v>3.968470995875538</v>
      </c>
      <c r="M11" s="3">
        <f t="shared" si="3"/>
        <v>125.98531250000001</v>
      </c>
    </row>
    <row r="12" spans="1:13" x14ac:dyDescent="0.25">
      <c r="A12" s="2">
        <v>45566</v>
      </c>
      <c r="B12" t="s">
        <v>23</v>
      </c>
      <c r="C12" t="s">
        <v>12</v>
      </c>
      <c r="D12" t="s">
        <v>24</v>
      </c>
      <c r="E12">
        <v>63599</v>
      </c>
      <c r="F12">
        <v>2241</v>
      </c>
      <c r="G12">
        <v>4936.9399999999996</v>
      </c>
      <c r="H12">
        <v>69</v>
      </c>
      <c r="I12">
        <v>13150.74</v>
      </c>
      <c r="J12" s="3">
        <f t="shared" si="0"/>
        <v>3.0789825970548863</v>
      </c>
      <c r="K12" s="3">
        <f t="shared" si="1"/>
        <v>71.549855072463757</v>
      </c>
      <c r="L12" s="3">
        <f t="shared" si="2"/>
        <v>2.6637431283345556</v>
      </c>
      <c r="M12" s="3">
        <f t="shared" si="3"/>
        <v>190.5904347826087</v>
      </c>
    </row>
    <row r="13" spans="1:13" x14ac:dyDescent="0.25">
      <c r="A13" s="2">
        <v>45566</v>
      </c>
      <c r="B13" t="s">
        <v>23</v>
      </c>
      <c r="C13" t="s">
        <v>14</v>
      </c>
      <c r="D13" t="s">
        <v>25</v>
      </c>
      <c r="E13">
        <v>4086</v>
      </c>
      <c r="F13">
        <v>61</v>
      </c>
      <c r="G13">
        <v>298.07</v>
      </c>
      <c r="H13">
        <v>1</v>
      </c>
      <c r="I13">
        <v>946.58</v>
      </c>
      <c r="J13" s="3">
        <f t="shared" si="0"/>
        <v>1.639344262295082</v>
      </c>
      <c r="K13" s="3">
        <f t="shared" si="1"/>
        <v>298.07</v>
      </c>
      <c r="L13" s="3">
        <f t="shared" si="2"/>
        <v>3.1756969839299494</v>
      </c>
      <c r="M13" s="3">
        <f t="shared" si="3"/>
        <v>946.58</v>
      </c>
    </row>
    <row r="14" spans="1:13" x14ac:dyDescent="0.25">
      <c r="A14" s="2">
        <v>45567</v>
      </c>
      <c r="B14" t="s">
        <v>9</v>
      </c>
      <c r="C14" t="s">
        <v>10</v>
      </c>
      <c r="D14" t="s">
        <v>26</v>
      </c>
      <c r="E14">
        <v>21934</v>
      </c>
      <c r="F14">
        <v>741</v>
      </c>
      <c r="G14">
        <v>383.97</v>
      </c>
      <c r="H14">
        <v>52</v>
      </c>
      <c r="I14">
        <v>1804.25</v>
      </c>
      <c r="J14" s="3">
        <f t="shared" si="0"/>
        <v>7.0175438596491224</v>
      </c>
      <c r="K14" s="3">
        <f t="shared" si="1"/>
        <v>7.384038461538462</v>
      </c>
      <c r="L14" s="3">
        <f t="shared" si="2"/>
        <v>4.698934812615569</v>
      </c>
      <c r="M14" s="3">
        <f t="shared" si="3"/>
        <v>34.697115384615387</v>
      </c>
    </row>
    <row r="15" spans="1:13" x14ac:dyDescent="0.25">
      <c r="A15" s="2">
        <v>45567</v>
      </c>
      <c r="B15" t="s">
        <v>9</v>
      </c>
      <c r="C15" t="s">
        <v>12</v>
      </c>
      <c r="D15" t="s">
        <v>16</v>
      </c>
      <c r="E15">
        <v>43167</v>
      </c>
      <c r="F15">
        <v>2474</v>
      </c>
      <c r="G15">
        <v>4600.1899999999996</v>
      </c>
      <c r="H15">
        <v>169</v>
      </c>
      <c r="I15">
        <v>10926.75</v>
      </c>
      <c r="J15" s="3">
        <f t="shared" si="0"/>
        <v>6.8310428455941787</v>
      </c>
      <c r="K15" s="3">
        <f t="shared" si="1"/>
        <v>27.220059171597629</v>
      </c>
      <c r="L15" s="3">
        <f t="shared" si="2"/>
        <v>2.37528232529526</v>
      </c>
      <c r="M15" s="3">
        <f t="shared" si="3"/>
        <v>64.655325443786978</v>
      </c>
    </row>
    <row r="16" spans="1:13" x14ac:dyDescent="0.25">
      <c r="A16" s="2">
        <v>45567</v>
      </c>
      <c r="B16" t="s">
        <v>9</v>
      </c>
      <c r="C16" t="s">
        <v>14</v>
      </c>
      <c r="D16" t="s">
        <v>11</v>
      </c>
      <c r="E16">
        <v>4672</v>
      </c>
      <c r="F16">
        <v>153</v>
      </c>
      <c r="G16">
        <v>294.02</v>
      </c>
      <c r="H16">
        <v>18</v>
      </c>
      <c r="I16">
        <v>495.04</v>
      </c>
      <c r="J16" s="3">
        <f t="shared" si="0"/>
        <v>11.76470588235294</v>
      </c>
      <c r="K16" s="3">
        <f t="shared" si="1"/>
        <v>16.334444444444443</v>
      </c>
      <c r="L16" s="3">
        <f t="shared" si="2"/>
        <v>1.6836949867355964</v>
      </c>
      <c r="M16" s="3">
        <f t="shared" si="3"/>
        <v>27.502222222222223</v>
      </c>
    </row>
    <row r="17" spans="1:13" x14ac:dyDescent="0.25">
      <c r="A17" s="2">
        <v>45567</v>
      </c>
      <c r="B17" t="s">
        <v>15</v>
      </c>
      <c r="C17" t="s">
        <v>10</v>
      </c>
      <c r="D17" t="s">
        <v>17</v>
      </c>
      <c r="E17">
        <v>22423</v>
      </c>
      <c r="F17">
        <v>478</v>
      </c>
      <c r="G17">
        <v>1038.6199999999999</v>
      </c>
      <c r="H17">
        <v>29</v>
      </c>
      <c r="I17">
        <v>2849.02</v>
      </c>
      <c r="J17" s="3">
        <f t="shared" si="0"/>
        <v>6.0669456066945608</v>
      </c>
      <c r="K17" s="3">
        <f t="shared" si="1"/>
        <v>35.814482758620684</v>
      </c>
      <c r="L17" s="3">
        <f t="shared" si="2"/>
        <v>2.7430821667212264</v>
      </c>
      <c r="M17" s="3">
        <f t="shared" si="3"/>
        <v>98.242068965517234</v>
      </c>
    </row>
    <row r="18" spans="1:13" x14ac:dyDescent="0.25">
      <c r="A18" s="2">
        <v>45567</v>
      </c>
      <c r="B18" t="s">
        <v>15</v>
      </c>
      <c r="C18" t="s">
        <v>12</v>
      </c>
      <c r="D18" t="s">
        <v>18</v>
      </c>
      <c r="E18">
        <v>54914</v>
      </c>
      <c r="F18">
        <v>1587</v>
      </c>
      <c r="G18">
        <v>1840.73</v>
      </c>
      <c r="H18">
        <v>241</v>
      </c>
      <c r="I18">
        <v>6265.74</v>
      </c>
      <c r="J18" s="3">
        <f t="shared" si="0"/>
        <v>15.18588531821046</v>
      </c>
      <c r="K18" s="3">
        <f t="shared" si="1"/>
        <v>7.6378838174273858</v>
      </c>
      <c r="L18" s="3">
        <f t="shared" si="2"/>
        <v>3.4039430008746527</v>
      </c>
      <c r="M18" s="3">
        <f t="shared" si="3"/>
        <v>25.998921161825724</v>
      </c>
    </row>
    <row r="19" spans="1:13" x14ac:dyDescent="0.25">
      <c r="A19" s="2">
        <v>45567</v>
      </c>
      <c r="B19" t="s">
        <v>15</v>
      </c>
      <c r="C19" t="s">
        <v>14</v>
      </c>
      <c r="D19" t="s">
        <v>27</v>
      </c>
      <c r="E19">
        <v>5809</v>
      </c>
      <c r="F19">
        <v>163</v>
      </c>
      <c r="G19">
        <v>204.76</v>
      </c>
      <c r="H19">
        <v>7</v>
      </c>
      <c r="I19">
        <v>643.45000000000005</v>
      </c>
      <c r="J19" s="3">
        <f t="shared" si="0"/>
        <v>4.294478527607362</v>
      </c>
      <c r="K19" s="3">
        <f t="shared" si="1"/>
        <v>29.251428571428569</v>
      </c>
      <c r="L19" s="3">
        <f t="shared" si="2"/>
        <v>3.1424594647392072</v>
      </c>
      <c r="M19" s="3">
        <f t="shared" si="3"/>
        <v>91.921428571428578</v>
      </c>
    </row>
    <row r="20" spans="1:13" x14ac:dyDescent="0.25">
      <c r="A20" s="2">
        <v>45567</v>
      </c>
      <c r="B20" t="s">
        <v>19</v>
      </c>
      <c r="C20" t="s">
        <v>10</v>
      </c>
      <c r="D20" t="s">
        <v>20</v>
      </c>
      <c r="E20">
        <v>12778</v>
      </c>
      <c r="F20">
        <v>590</v>
      </c>
      <c r="G20">
        <v>918.54</v>
      </c>
      <c r="H20">
        <v>50</v>
      </c>
      <c r="I20">
        <v>3263.75</v>
      </c>
      <c r="J20" s="3">
        <f t="shared" si="0"/>
        <v>8.4745762711864394</v>
      </c>
      <c r="K20" s="3">
        <f t="shared" si="1"/>
        <v>18.370799999999999</v>
      </c>
      <c r="L20" s="3">
        <f t="shared" si="2"/>
        <v>3.5531931108062795</v>
      </c>
      <c r="M20" s="3">
        <f t="shared" si="3"/>
        <v>65.275000000000006</v>
      </c>
    </row>
    <row r="21" spans="1:13" x14ac:dyDescent="0.25">
      <c r="A21" s="2">
        <v>45567</v>
      </c>
      <c r="B21" t="s">
        <v>19</v>
      </c>
      <c r="C21" t="s">
        <v>12</v>
      </c>
      <c r="D21" t="s">
        <v>21</v>
      </c>
      <c r="E21">
        <v>50392</v>
      </c>
      <c r="F21">
        <v>2377</v>
      </c>
      <c r="G21">
        <v>2241.6799999999998</v>
      </c>
      <c r="H21">
        <v>246</v>
      </c>
      <c r="I21">
        <v>4386.28</v>
      </c>
      <c r="J21" s="3">
        <f t="shared" si="0"/>
        <v>10.349179638199411</v>
      </c>
      <c r="K21" s="3">
        <f t="shared" si="1"/>
        <v>9.1125203252032509</v>
      </c>
      <c r="L21" s="3">
        <f t="shared" si="2"/>
        <v>1.956693194389922</v>
      </c>
      <c r="M21" s="3">
        <f t="shared" si="3"/>
        <v>17.830406504065039</v>
      </c>
    </row>
    <row r="22" spans="1:13" x14ac:dyDescent="0.25">
      <c r="A22" s="2">
        <v>45567</v>
      </c>
      <c r="B22" t="s">
        <v>19</v>
      </c>
      <c r="C22" t="s">
        <v>14</v>
      </c>
      <c r="D22" t="s">
        <v>21</v>
      </c>
      <c r="E22">
        <v>2378</v>
      </c>
      <c r="F22">
        <v>112</v>
      </c>
      <c r="G22">
        <v>394.38</v>
      </c>
      <c r="H22">
        <v>20</v>
      </c>
      <c r="I22">
        <v>1746.71</v>
      </c>
      <c r="J22" s="3">
        <f t="shared" si="0"/>
        <v>17.857142857142858</v>
      </c>
      <c r="K22" s="3">
        <f t="shared" si="1"/>
        <v>19.719000000000001</v>
      </c>
      <c r="L22" s="3">
        <f t="shared" si="2"/>
        <v>4.4290024849130285</v>
      </c>
      <c r="M22" s="3">
        <f t="shared" si="3"/>
        <v>87.335499999999996</v>
      </c>
    </row>
    <row r="23" spans="1:13" x14ac:dyDescent="0.25">
      <c r="A23" s="2">
        <v>45567</v>
      </c>
      <c r="B23" t="s">
        <v>23</v>
      </c>
      <c r="C23" t="s">
        <v>10</v>
      </c>
      <c r="D23" t="s">
        <v>28</v>
      </c>
      <c r="E23">
        <v>24923</v>
      </c>
      <c r="F23">
        <v>724</v>
      </c>
      <c r="G23">
        <v>1363.36</v>
      </c>
      <c r="H23">
        <v>46</v>
      </c>
      <c r="I23">
        <v>2643.36</v>
      </c>
      <c r="J23" s="3">
        <f t="shared" si="0"/>
        <v>6.3535911602209953</v>
      </c>
      <c r="K23" s="3">
        <f t="shared" si="1"/>
        <v>29.638260869565215</v>
      </c>
      <c r="L23" s="3">
        <f t="shared" si="2"/>
        <v>1.9388569416735126</v>
      </c>
      <c r="M23" s="3">
        <f t="shared" si="3"/>
        <v>57.464347826086957</v>
      </c>
    </row>
    <row r="24" spans="1:13" x14ac:dyDescent="0.25">
      <c r="A24" s="2">
        <v>45567</v>
      </c>
      <c r="B24" t="s">
        <v>23</v>
      </c>
      <c r="C24" t="s">
        <v>12</v>
      </c>
      <c r="D24" t="s">
        <v>29</v>
      </c>
      <c r="E24">
        <v>67399</v>
      </c>
      <c r="F24">
        <v>1818</v>
      </c>
      <c r="G24">
        <v>1975.94</v>
      </c>
      <c r="H24">
        <v>207</v>
      </c>
      <c r="I24">
        <v>7534.19</v>
      </c>
      <c r="J24" s="3">
        <f t="shared" si="0"/>
        <v>11.386138613861387</v>
      </c>
      <c r="K24" s="3">
        <f t="shared" si="1"/>
        <v>9.5456038647343</v>
      </c>
      <c r="L24" s="3">
        <f t="shared" si="2"/>
        <v>3.81296496857192</v>
      </c>
      <c r="M24" s="3">
        <f t="shared" si="3"/>
        <v>36.397053140096617</v>
      </c>
    </row>
    <row r="25" spans="1:13" x14ac:dyDescent="0.25">
      <c r="A25" s="2">
        <v>45567</v>
      </c>
      <c r="B25" t="s">
        <v>23</v>
      </c>
      <c r="C25" t="s">
        <v>14</v>
      </c>
      <c r="D25" t="s">
        <v>28</v>
      </c>
      <c r="E25">
        <v>5482</v>
      </c>
      <c r="F25">
        <v>106</v>
      </c>
      <c r="G25">
        <v>111.56</v>
      </c>
      <c r="H25">
        <v>17</v>
      </c>
      <c r="I25">
        <v>330.81</v>
      </c>
      <c r="J25" s="3">
        <f t="shared" si="0"/>
        <v>16.037735849056602</v>
      </c>
      <c r="K25" s="3">
        <f t="shared" si="1"/>
        <v>6.5623529411764707</v>
      </c>
      <c r="L25" s="3">
        <f t="shared" si="2"/>
        <v>2.9653101470060954</v>
      </c>
      <c r="M25" s="3">
        <f t="shared" si="3"/>
        <v>19.459411764705884</v>
      </c>
    </row>
    <row r="26" spans="1:13" x14ac:dyDescent="0.25">
      <c r="A26" s="2">
        <v>45568</v>
      </c>
      <c r="B26" t="s">
        <v>9</v>
      </c>
      <c r="C26" t="s">
        <v>10</v>
      </c>
      <c r="D26" t="s">
        <v>26</v>
      </c>
      <c r="E26">
        <v>13976</v>
      </c>
      <c r="F26">
        <v>767</v>
      </c>
      <c r="G26">
        <v>460.01</v>
      </c>
      <c r="H26">
        <v>39</v>
      </c>
      <c r="I26">
        <v>1718.96</v>
      </c>
      <c r="J26" s="3">
        <f t="shared" si="0"/>
        <v>5.0847457627118651</v>
      </c>
      <c r="K26" s="3">
        <f t="shared" si="1"/>
        <v>11.795128205128204</v>
      </c>
      <c r="L26" s="3">
        <f t="shared" si="2"/>
        <v>3.7367883306884635</v>
      </c>
      <c r="M26" s="3">
        <f t="shared" si="3"/>
        <v>44.075897435897438</v>
      </c>
    </row>
    <row r="27" spans="1:13" x14ac:dyDescent="0.25">
      <c r="A27" s="2">
        <v>45568</v>
      </c>
      <c r="B27" t="s">
        <v>9</v>
      </c>
      <c r="C27" t="s">
        <v>12</v>
      </c>
      <c r="D27" t="s">
        <v>16</v>
      </c>
      <c r="E27">
        <v>64004</v>
      </c>
      <c r="F27">
        <v>2254</v>
      </c>
      <c r="G27">
        <v>4260.03</v>
      </c>
      <c r="H27">
        <v>169</v>
      </c>
      <c r="I27">
        <v>12020.16</v>
      </c>
      <c r="J27" s="3">
        <f t="shared" si="0"/>
        <v>7.4977817213842055</v>
      </c>
      <c r="K27" s="3">
        <f t="shared" si="1"/>
        <v>25.207278106508873</v>
      </c>
      <c r="L27" s="3">
        <f t="shared" si="2"/>
        <v>2.8216139322962515</v>
      </c>
      <c r="M27" s="3">
        <f t="shared" si="3"/>
        <v>71.125207100591709</v>
      </c>
    </row>
    <row r="28" spans="1:13" x14ac:dyDescent="0.25">
      <c r="A28" s="2">
        <v>45568</v>
      </c>
      <c r="B28" t="s">
        <v>9</v>
      </c>
      <c r="C28" t="s">
        <v>14</v>
      </c>
      <c r="D28" t="s">
        <v>11</v>
      </c>
      <c r="E28">
        <v>3303</v>
      </c>
      <c r="F28">
        <v>240</v>
      </c>
      <c r="G28">
        <v>351.52</v>
      </c>
      <c r="H28">
        <v>15</v>
      </c>
      <c r="I28">
        <v>768.05</v>
      </c>
      <c r="J28" s="3">
        <f t="shared" si="0"/>
        <v>6.25</v>
      </c>
      <c r="K28" s="3">
        <f t="shared" si="1"/>
        <v>23.434666666666665</v>
      </c>
      <c r="L28" s="3">
        <f t="shared" si="2"/>
        <v>2.184939690487028</v>
      </c>
      <c r="M28" s="3">
        <f t="shared" si="3"/>
        <v>51.203333333333333</v>
      </c>
    </row>
    <row r="29" spans="1:13" x14ac:dyDescent="0.25">
      <c r="A29" s="2">
        <v>45568</v>
      </c>
      <c r="B29" t="s">
        <v>15</v>
      </c>
      <c r="C29" t="s">
        <v>10</v>
      </c>
      <c r="D29" t="s">
        <v>16</v>
      </c>
      <c r="E29">
        <v>19086</v>
      </c>
      <c r="F29">
        <v>833</v>
      </c>
      <c r="G29">
        <v>881.52</v>
      </c>
      <c r="H29">
        <v>25</v>
      </c>
      <c r="I29">
        <v>1977.66</v>
      </c>
      <c r="J29" s="3">
        <f t="shared" si="0"/>
        <v>3.0012004801920766</v>
      </c>
      <c r="K29" s="3">
        <f t="shared" si="1"/>
        <v>35.260799999999996</v>
      </c>
      <c r="L29" s="3">
        <f t="shared" si="2"/>
        <v>2.2434658317451674</v>
      </c>
      <c r="M29" s="3">
        <f t="shared" si="3"/>
        <v>79.106400000000008</v>
      </c>
    </row>
    <row r="30" spans="1:13" x14ac:dyDescent="0.25">
      <c r="A30" s="2">
        <v>45568</v>
      </c>
      <c r="B30" t="s">
        <v>15</v>
      </c>
      <c r="C30" t="s">
        <v>12</v>
      </c>
      <c r="D30" t="s">
        <v>18</v>
      </c>
      <c r="E30">
        <v>53725</v>
      </c>
      <c r="F30">
        <v>1480</v>
      </c>
      <c r="G30">
        <v>2086.86</v>
      </c>
      <c r="H30">
        <v>121</v>
      </c>
      <c r="I30">
        <v>9586</v>
      </c>
      <c r="J30" s="3">
        <f t="shared" si="0"/>
        <v>8.1756756756756754</v>
      </c>
      <c r="K30" s="3">
        <f t="shared" si="1"/>
        <v>17.246776859504134</v>
      </c>
      <c r="L30" s="3">
        <f t="shared" si="2"/>
        <v>4.593504116232042</v>
      </c>
      <c r="M30" s="3">
        <f t="shared" si="3"/>
        <v>79.223140495867767</v>
      </c>
    </row>
    <row r="31" spans="1:13" x14ac:dyDescent="0.25">
      <c r="A31" s="2">
        <v>45568</v>
      </c>
      <c r="B31" t="s">
        <v>15</v>
      </c>
      <c r="C31" t="s">
        <v>14</v>
      </c>
      <c r="D31" t="s">
        <v>18</v>
      </c>
      <c r="E31">
        <v>3133</v>
      </c>
      <c r="F31">
        <v>88</v>
      </c>
      <c r="G31">
        <v>130.94</v>
      </c>
      <c r="H31">
        <v>5</v>
      </c>
      <c r="I31">
        <v>508.62</v>
      </c>
      <c r="J31" s="3">
        <f t="shared" si="0"/>
        <v>5.6818181818181817</v>
      </c>
      <c r="K31" s="3">
        <f t="shared" si="1"/>
        <v>26.187999999999999</v>
      </c>
      <c r="L31" s="3">
        <f t="shared" si="2"/>
        <v>3.8843745226821444</v>
      </c>
      <c r="M31" s="3">
        <f t="shared" si="3"/>
        <v>101.724</v>
      </c>
    </row>
    <row r="32" spans="1:13" x14ac:dyDescent="0.25">
      <c r="A32" s="2">
        <v>45568</v>
      </c>
      <c r="B32" t="s">
        <v>19</v>
      </c>
      <c r="C32" t="s">
        <v>10</v>
      </c>
      <c r="D32" t="s">
        <v>21</v>
      </c>
      <c r="E32">
        <v>23594</v>
      </c>
      <c r="F32">
        <v>717</v>
      </c>
      <c r="G32">
        <v>697.06</v>
      </c>
      <c r="H32">
        <v>39</v>
      </c>
      <c r="I32">
        <v>1937.79</v>
      </c>
      <c r="J32" s="3">
        <f t="shared" si="0"/>
        <v>5.439330543933055</v>
      </c>
      <c r="K32" s="3">
        <f t="shared" si="1"/>
        <v>17.873333333333331</v>
      </c>
      <c r="L32" s="3">
        <f t="shared" si="2"/>
        <v>2.7799472068401574</v>
      </c>
      <c r="M32" s="3">
        <f t="shared" si="3"/>
        <v>49.686923076923073</v>
      </c>
    </row>
    <row r="33" spans="1:13" x14ac:dyDescent="0.25">
      <c r="A33" s="2">
        <v>45568</v>
      </c>
      <c r="B33" t="s">
        <v>19</v>
      </c>
      <c r="C33" t="s">
        <v>12</v>
      </c>
      <c r="D33" t="s">
        <v>20</v>
      </c>
      <c r="E33">
        <v>62534</v>
      </c>
      <c r="F33">
        <v>1797</v>
      </c>
      <c r="G33">
        <v>4619.3500000000004</v>
      </c>
      <c r="H33">
        <v>189</v>
      </c>
      <c r="I33">
        <v>22149.95</v>
      </c>
      <c r="J33" s="3">
        <f t="shared" si="0"/>
        <v>10.51752921535893</v>
      </c>
      <c r="K33" s="3">
        <f t="shared" si="1"/>
        <v>24.441005291005293</v>
      </c>
      <c r="L33" s="3">
        <f t="shared" si="2"/>
        <v>4.7950360981523374</v>
      </c>
      <c r="M33" s="3">
        <f t="shared" si="3"/>
        <v>117.19550264550264</v>
      </c>
    </row>
    <row r="34" spans="1:13" x14ac:dyDescent="0.25">
      <c r="A34" s="2">
        <v>45568</v>
      </c>
      <c r="B34" t="s">
        <v>19</v>
      </c>
      <c r="C34" t="s">
        <v>14</v>
      </c>
      <c r="D34" t="s">
        <v>21</v>
      </c>
      <c r="E34">
        <v>6716</v>
      </c>
      <c r="F34">
        <v>147</v>
      </c>
      <c r="G34">
        <v>216.94</v>
      </c>
      <c r="H34">
        <v>12</v>
      </c>
      <c r="I34">
        <v>506.5</v>
      </c>
      <c r="J34" s="3">
        <f t="shared" si="0"/>
        <v>8.1632653061224492</v>
      </c>
      <c r="K34" s="3">
        <f t="shared" si="1"/>
        <v>18.078333333333333</v>
      </c>
      <c r="L34" s="3">
        <f t="shared" si="2"/>
        <v>2.3347469346363048</v>
      </c>
      <c r="M34" s="3">
        <f t="shared" si="3"/>
        <v>42.208333333333336</v>
      </c>
    </row>
    <row r="35" spans="1:13" x14ac:dyDescent="0.25">
      <c r="A35" s="2">
        <v>45568</v>
      </c>
      <c r="B35" t="s">
        <v>23</v>
      </c>
      <c r="C35" t="s">
        <v>10</v>
      </c>
      <c r="D35" t="s">
        <v>29</v>
      </c>
      <c r="E35">
        <v>23730</v>
      </c>
      <c r="F35">
        <v>851</v>
      </c>
      <c r="G35">
        <v>1197.02</v>
      </c>
      <c r="H35">
        <v>44</v>
      </c>
      <c r="I35">
        <v>5074.7700000000004</v>
      </c>
      <c r="J35" s="3">
        <f t="shared" si="0"/>
        <v>5.1703877790834314</v>
      </c>
      <c r="K35" s="3">
        <f t="shared" si="1"/>
        <v>27.204999999999998</v>
      </c>
      <c r="L35" s="3">
        <f t="shared" si="2"/>
        <v>4.2395030993634197</v>
      </c>
      <c r="M35" s="3">
        <f t="shared" si="3"/>
        <v>115.33568181818183</v>
      </c>
    </row>
    <row r="36" spans="1:13" x14ac:dyDescent="0.25">
      <c r="A36" s="2">
        <v>45568</v>
      </c>
      <c r="B36" t="s">
        <v>23</v>
      </c>
      <c r="C36" t="s">
        <v>12</v>
      </c>
      <c r="D36" t="s">
        <v>25</v>
      </c>
      <c r="E36">
        <v>66996</v>
      </c>
      <c r="F36">
        <v>1449</v>
      </c>
      <c r="G36">
        <v>2091.7399999999998</v>
      </c>
      <c r="H36">
        <v>164</v>
      </c>
      <c r="I36">
        <v>2740.8</v>
      </c>
      <c r="J36" s="3">
        <f t="shared" si="0"/>
        <v>11.31815044858523</v>
      </c>
      <c r="K36" s="3">
        <f t="shared" si="1"/>
        <v>12.754512195121951</v>
      </c>
      <c r="L36" s="3">
        <f t="shared" si="2"/>
        <v>1.3102966907933111</v>
      </c>
      <c r="M36" s="3">
        <f t="shared" si="3"/>
        <v>16.712195121951222</v>
      </c>
    </row>
    <row r="37" spans="1:13" x14ac:dyDescent="0.25">
      <c r="A37" s="2">
        <v>45568</v>
      </c>
      <c r="B37" t="s">
        <v>23</v>
      </c>
      <c r="C37" t="s">
        <v>14</v>
      </c>
      <c r="D37" t="s">
        <v>24</v>
      </c>
      <c r="E37">
        <v>7479</v>
      </c>
      <c r="F37">
        <v>223</v>
      </c>
      <c r="G37">
        <v>329.35</v>
      </c>
      <c r="H37">
        <v>6</v>
      </c>
      <c r="I37">
        <v>1447.14</v>
      </c>
      <c r="J37" s="3">
        <f t="shared" si="0"/>
        <v>2.6905829596412558</v>
      </c>
      <c r="K37" s="3">
        <f t="shared" si="1"/>
        <v>54.891666666666673</v>
      </c>
      <c r="L37" s="3">
        <f t="shared" si="2"/>
        <v>4.3939274328222258</v>
      </c>
      <c r="M37" s="3">
        <f t="shared" si="3"/>
        <v>241.19000000000003</v>
      </c>
    </row>
    <row r="38" spans="1:13" x14ac:dyDescent="0.25">
      <c r="A38" s="2">
        <v>45569</v>
      </c>
      <c r="B38" t="s">
        <v>9</v>
      </c>
      <c r="C38" t="s">
        <v>10</v>
      </c>
      <c r="D38" t="s">
        <v>26</v>
      </c>
      <c r="E38">
        <v>27502</v>
      </c>
      <c r="F38">
        <v>327</v>
      </c>
      <c r="G38">
        <v>1388.31</v>
      </c>
      <c r="H38">
        <v>47</v>
      </c>
      <c r="I38">
        <v>4643.47</v>
      </c>
      <c r="J38" s="3">
        <f t="shared" si="0"/>
        <v>14.37308868501529</v>
      </c>
      <c r="K38" s="3">
        <f t="shared" si="1"/>
        <v>29.538510638297872</v>
      </c>
      <c r="L38" s="3">
        <f t="shared" si="2"/>
        <v>3.3446924678205878</v>
      </c>
      <c r="M38" s="3">
        <f t="shared" si="3"/>
        <v>98.7972340425532</v>
      </c>
    </row>
    <row r="39" spans="1:13" x14ac:dyDescent="0.25">
      <c r="A39" s="2">
        <v>45569</v>
      </c>
      <c r="B39" t="s">
        <v>9</v>
      </c>
      <c r="C39" t="s">
        <v>12</v>
      </c>
      <c r="D39" t="s">
        <v>13</v>
      </c>
      <c r="E39">
        <v>40501</v>
      </c>
      <c r="F39">
        <v>2316</v>
      </c>
      <c r="G39">
        <v>2714.45</v>
      </c>
      <c r="H39">
        <v>158</v>
      </c>
      <c r="I39">
        <v>5131.8599999999997</v>
      </c>
      <c r="J39" s="3">
        <f t="shared" si="0"/>
        <v>6.8221070811744386</v>
      </c>
      <c r="K39" s="3">
        <f t="shared" si="1"/>
        <v>17.180063291139238</v>
      </c>
      <c r="L39" s="3">
        <f t="shared" si="2"/>
        <v>1.8905708338705816</v>
      </c>
      <c r="M39" s="3">
        <f t="shared" si="3"/>
        <v>32.48012658227848</v>
      </c>
    </row>
    <row r="40" spans="1:13" x14ac:dyDescent="0.25">
      <c r="A40" s="2">
        <v>45569</v>
      </c>
      <c r="B40" t="s">
        <v>9</v>
      </c>
      <c r="C40" t="s">
        <v>14</v>
      </c>
      <c r="D40" t="s">
        <v>16</v>
      </c>
      <c r="E40">
        <v>5105</v>
      </c>
      <c r="F40">
        <v>133</v>
      </c>
      <c r="G40">
        <v>124.08</v>
      </c>
      <c r="H40">
        <v>11</v>
      </c>
      <c r="I40">
        <v>308.02999999999997</v>
      </c>
      <c r="J40" s="3">
        <f t="shared" si="0"/>
        <v>8.2706766917293226</v>
      </c>
      <c r="K40" s="3">
        <f t="shared" si="1"/>
        <v>11.28</v>
      </c>
      <c r="L40" s="3">
        <f t="shared" si="2"/>
        <v>2.4825112830431979</v>
      </c>
      <c r="M40" s="3">
        <f t="shared" si="3"/>
        <v>28.00272727272727</v>
      </c>
    </row>
    <row r="41" spans="1:13" x14ac:dyDescent="0.25">
      <c r="A41" s="2">
        <v>45569</v>
      </c>
      <c r="B41" t="s">
        <v>15</v>
      </c>
      <c r="C41" t="s">
        <v>10</v>
      </c>
      <c r="D41" t="s">
        <v>17</v>
      </c>
      <c r="E41">
        <v>19117</v>
      </c>
      <c r="F41">
        <v>731</v>
      </c>
      <c r="G41">
        <v>602.73</v>
      </c>
      <c r="H41">
        <v>15</v>
      </c>
      <c r="I41">
        <v>1800.45</v>
      </c>
      <c r="J41" s="3">
        <f t="shared" si="0"/>
        <v>2.0519835841313268</v>
      </c>
      <c r="K41" s="3">
        <f t="shared" si="1"/>
        <v>40.182000000000002</v>
      </c>
      <c r="L41" s="3">
        <f t="shared" si="2"/>
        <v>2.9871584291473794</v>
      </c>
      <c r="M41" s="3">
        <f t="shared" si="3"/>
        <v>120.03</v>
      </c>
    </row>
    <row r="42" spans="1:13" x14ac:dyDescent="0.25">
      <c r="A42" s="2">
        <v>45569</v>
      </c>
      <c r="B42" t="s">
        <v>15</v>
      </c>
      <c r="C42" t="s">
        <v>12</v>
      </c>
      <c r="D42" t="s">
        <v>18</v>
      </c>
      <c r="E42">
        <v>57935</v>
      </c>
      <c r="F42">
        <v>1459</v>
      </c>
      <c r="G42">
        <v>3600.58</v>
      </c>
      <c r="H42">
        <v>239</v>
      </c>
      <c r="I42">
        <v>17418.47</v>
      </c>
      <c r="J42" s="3">
        <f t="shared" si="0"/>
        <v>16.381082933516105</v>
      </c>
      <c r="K42" s="3">
        <f t="shared" si="1"/>
        <v>15.065188284518829</v>
      </c>
      <c r="L42" s="3">
        <f t="shared" si="2"/>
        <v>4.8376844841664406</v>
      </c>
      <c r="M42" s="3">
        <f t="shared" si="3"/>
        <v>72.880627615062764</v>
      </c>
    </row>
    <row r="43" spans="1:13" x14ac:dyDescent="0.25">
      <c r="A43" s="2">
        <v>45569</v>
      </c>
      <c r="B43" t="s">
        <v>15</v>
      </c>
      <c r="C43" t="s">
        <v>14</v>
      </c>
      <c r="D43" t="s">
        <v>18</v>
      </c>
      <c r="E43">
        <v>2254</v>
      </c>
      <c r="F43">
        <v>113</v>
      </c>
      <c r="G43">
        <v>119.78</v>
      </c>
      <c r="H43">
        <v>1</v>
      </c>
      <c r="I43">
        <v>426.55</v>
      </c>
      <c r="J43" s="3">
        <f t="shared" si="0"/>
        <v>0.88495575221238942</v>
      </c>
      <c r="K43" s="3">
        <f t="shared" si="1"/>
        <v>119.78</v>
      </c>
      <c r="L43" s="3">
        <f t="shared" si="2"/>
        <v>3.561112038737686</v>
      </c>
      <c r="M43" s="3">
        <f t="shared" si="3"/>
        <v>426.55</v>
      </c>
    </row>
    <row r="44" spans="1:13" x14ac:dyDescent="0.25">
      <c r="A44" s="2">
        <v>45569</v>
      </c>
      <c r="B44" t="s">
        <v>19</v>
      </c>
      <c r="C44" t="s">
        <v>10</v>
      </c>
      <c r="D44" t="s">
        <v>20</v>
      </c>
      <c r="E44">
        <v>14136</v>
      </c>
      <c r="F44">
        <v>784</v>
      </c>
      <c r="G44">
        <v>1103.3499999999999</v>
      </c>
      <c r="H44">
        <v>46</v>
      </c>
      <c r="I44">
        <v>5297.71</v>
      </c>
      <c r="J44" s="3">
        <f t="shared" si="0"/>
        <v>5.8673469387755102</v>
      </c>
      <c r="K44" s="3">
        <f t="shared" si="1"/>
        <v>23.985869565217389</v>
      </c>
      <c r="L44" s="3">
        <f t="shared" si="2"/>
        <v>4.8014773190737303</v>
      </c>
      <c r="M44" s="3">
        <f t="shared" si="3"/>
        <v>115.16760869565218</v>
      </c>
    </row>
    <row r="45" spans="1:13" x14ac:dyDescent="0.25">
      <c r="A45" s="2">
        <v>45569</v>
      </c>
      <c r="B45" t="s">
        <v>19</v>
      </c>
      <c r="C45" t="s">
        <v>12</v>
      </c>
      <c r="D45" t="s">
        <v>26</v>
      </c>
      <c r="E45">
        <v>51793</v>
      </c>
      <c r="F45">
        <v>2570</v>
      </c>
      <c r="G45">
        <v>2475.58</v>
      </c>
      <c r="H45">
        <v>195</v>
      </c>
      <c r="I45">
        <v>8683.2000000000007</v>
      </c>
      <c r="J45" s="3">
        <f t="shared" si="0"/>
        <v>7.5875486381322954</v>
      </c>
      <c r="K45" s="3">
        <f t="shared" si="1"/>
        <v>12.695282051282051</v>
      </c>
      <c r="L45" s="3">
        <f t="shared" si="2"/>
        <v>3.5075416670032884</v>
      </c>
      <c r="M45" s="3">
        <f t="shared" si="3"/>
        <v>44.529230769230772</v>
      </c>
    </row>
    <row r="46" spans="1:13" x14ac:dyDescent="0.25">
      <c r="A46" s="2">
        <v>45569</v>
      </c>
      <c r="B46" t="s">
        <v>19</v>
      </c>
      <c r="C46" t="s">
        <v>14</v>
      </c>
      <c r="D46" t="s">
        <v>21</v>
      </c>
      <c r="E46">
        <v>3341</v>
      </c>
      <c r="F46">
        <v>129</v>
      </c>
      <c r="G46">
        <v>87.83</v>
      </c>
      <c r="H46">
        <v>1</v>
      </c>
      <c r="I46">
        <v>415.42</v>
      </c>
      <c r="J46" s="3">
        <f t="shared" si="0"/>
        <v>0.77519379844961245</v>
      </c>
      <c r="K46" s="3">
        <f t="shared" si="1"/>
        <v>87.83</v>
      </c>
      <c r="L46" s="3">
        <f t="shared" si="2"/>
        <v>4.7298189684618013</v>
      </c>
      <c r="M46" s="3">
        <f t="shared" si="3"/>
        <v>415.42</v>
      </c>
    </row>
    <row r="47" spans="1:13" x14ac:dyDescent="0.25">
      <c r="A47" s="2">
        <v>45569</v>
      </c>
      <c r="B47" t="s">
        <v>23</v>
      </c>
      <c r="C47" t="s">
        <v>10</v>
      </c>
      <c r="D47" t="s">
        <v>29</v>
      </c>
      <c r="E47">
        <v>22997</v>
      </c>
      <c r="F47">
        <v>503</v>
      </c>
      <c r="G47">
        <v>391.2</v>
      </c>
      <c r="H47">
        <v>54</v>
      </c>
      <c r="I47">
        <v>1704.13</v>
      </c>
      <c r="J47" s="3">
        <f t="shared" si="0"/>
        <v>10.735586481113319</v>
      </c>
      <c r="K47" s="3">
        <f t="shared" si="1"/>
        <v>7.2444444444444445</v>
      </c>
      <c r="L47" s="3">
        <f t="shared" si="2"/>
        <v>4.3561605316973422</v>
      </c>
      <c r="M47" s="3">
        <f t="shared" si="3"/>
        <v>31.557962962962964</v>
      </c>
    </row>
    <row r="48" spans="1:13" x14ac:dyDescent="0.25">
      <c r="A48" s="2">
        <v>45569</v>
      </c>
      <c r="B48" t="s">
        <v>23</v>
      </c>
      <c r="C48" t="s">
        <v>12</v>
      </c>
      <c r="D48" t="s">
        <v>25</v>
      </c>
      <c r="E48">
        <v>41678</v>
      </c>
      <c r="F48">
        <v>2427</v>
      </c>
      <c r="G48">
        <v>4089.92</v>
      </c>
      <c r="H48">
        <v>215</v>
      </c>
      <c r="I48">
        <v>14239.32</v>
      </c>
      <c r="J48" s="3">
        <f t="shared" si="0"/>
        <v>8.8586732591676967</v>
      </c>
      <c r="K48" s="3">
        <f t="shared" si="1"/>
        <v>19.022883720930231</v>
      </c>
      <c r="L48" s="3">
        <f t="shared" si="2"/>
        <v>3.4815644315781236</v>
      </c>
      <c r="M48" s="3">
        <f t="shared" si="3"/>
        <v>66.229395348837201</v>
      </c>
    </row>
    <row r="49" spans="1:13" x14ac:dyDescent="0.25">
      <c r="A49" s="2">
        <v>45569</v>
      </c>
      <c r="B49" t="s">
        <v>23</v>
      </c>
      <c r="C49" t="s">
        <v>14</v>
      </c>
      <c r="D49" t="s">
        <v>28</v>
      </c>
      <c r="E49">
        <v>6636</v>
      </c>
      <c r="F49">
        <v>250</v>
      </c>
      <c r="G49">
        <v>64.37</v>
      </c>
      <c r="H49">
        <v>18</v>
      </c>
      <c r="I49">
        <v>182.03</v>
      </c>
      <c r="J49" s="3">
        <f t="shared" si="0"/>
        <v>7.1999999999999993</v>
      </c>
      <c r="K49" s="3">
        <f t="shared" si="1"/>
        <v>3.5761111111111115</v>
      </c>
      <c r="L49" s="3">
        <f t="shared" si="2"/>
        <v>2.8278701258350161</v>
      </c>
      <c r="M49" s="3">
        <f t="shared" si="3"/>
        <v>10.112777777777778</v>
      </c>
    </row>
    <row r="50" spans="1:13" x14ac:dyDescent="0.25">
      <c r="A50" s="2">
        <v>45570</v>
      </c>
      <c r="B50" t="s">
        <v>9</v>
      </c>
      <c r="C50" t="s">
        <v>10</v>
      </c>
      <c r="D50" t="s">
        <v>16</v>
      </c>
      <c r="E50">
        <v>12259</v>
      </c>
      <c r="F50">
        <v>818</v>
      </c>
      <c r="G50">
        <v>1077.05</v>
      </c>
      <c r="H50">
        <v>10</v>
      </c>
      <c r="I50">
        <v>4769.59</v>
      </c>
      <c r="J50" s="3">
        <f t="shared" si="0"/>
        <v>1.2224938875305624</v>
      </c>
      <c r="K50" s="3">
        <f t="shared" si="1"/>
        <v>107.705</v>
      </c>
      <c r="L50" s="3">
        <f t="shared" si="2"/>
        <v>4.428383083422311</v>
      </c>
      <c r="M50" s="3">
        <f t="shared" si="3"/>
        <v>476.959</v>
      </c>
    </row>
    <row r="51" spans="1:13" x14ac:dyDescent="0.25">
      <c r="A51" s="2">
        <v>45570</v>
      </c>
      <c r="B51" t="s">
        <v>9</v>
      </c>
      <c r="C51" t="s">
        <v>12</v>
      </c>
      <c r="D51" t="s">
        <v>11</v>
      </c>
      <c r="E51">
        <v>41916</v>
      </c>
      <c r="F51">
        <v>1887</v>
      </c>
      <c r="G51">
        <v>4843.1499999999996</v>
      </c>
      <c r="H51">
        <v>202</v>
      </c>
      <c r="I51">
        <v>22220.3</v>
      </c>
      <c r="J51" s="3">
        <f t="shared" si="0"/>
        <v>10.704822469528352</v>
      </c>
      <c r="K51" s="3">
        <f t="shared" si="1"/>
        <v>23.975990099009898</v>
      </c>
      <c r="L51" s="3">
        <f t="shared" si="2"/>
        <v>4.5879850923469228</v>
      </c>
      <c r="M51" s="3">
        <f t="shared" si="3"/>
        <v>110.00148514851485</v>
      </c>
    </row>
    <row r="52" spans="1:13" x14ac:dyDescent="0.25">
      <c r="A52" s="2">
        <v>45570</v>
      </c>
      <c r="B52" t="s">
        <v>9</v>
      </c>
      <c r="C52" t="s">
        <v>14</v>
      </c>
      <c r="D52" t="s">
        <v>11</v>
      </c>
      <c r="E52">
        <v>7794</v>
      </c>
      <c r="F52">
        <v>89</v>
      </c>
      <c r="G52">
        <v>202.42</v>
      </c>
      <c r="H52">
        <v>17</v>
      </c>
      <c r="I52">
        <v>985.54</v>
      </c>
      <c r="J52" s="3">
        <f t="shared" si="0"/>
        <v>19.101123595505616</v>
      </c>
      <c r="K52" s="3">
        <f t="shared" si="1"/>
        <v>11.907058823529411</v>
      </c>
      <c r="L52" s="3">
        <f t="shared" si="2"/>
        <v>4.8687876692026482</v>
      </c>
      <c r="M52" s="3">
        <f t="shared" si="3"/>
        <v>57.972941176470584</v>
      </c>
    </row>
    <row r="53" spans="1:13" x14ac:dyDescent="0.25">
      <c r="A53" s="2">
        <v>45570</v>
      </c>
      <c r="B53" t="s">
        <v>15</v>
      </c>
      <c r="C53" t="s">
        <v>10</v>
      </c>
      <c r="D53" t="s">
        <v>27</v>
      </c>
      <c r="E53">
        <v>27634</v>
      </c>
      <c r="F53">
        <v>795</v>
      </c>
      <c r="G53">
        <v>857.85</v>
      </c>
      <c r="H53">
        <v>56</v>
      </c>
      <c r="I53">
        <v>2960.79</v>
      </c>
      <c r="J53" s="3">
        <f t="shared" si="0"/>
        <v>7.0440251572327046</v>
      </c>
      <c r="K53" s="3">
        <f t="shared" si="1"/>
        <v>15.31875</v>
      </c>
      <c r="L53" s="3">
        <f t="shared" si="2"/>
        <v>3.4514075887392899</v>
      </c>
      <c r="M53" s="3">
        <f t="shared" si="3"/>
        <v>52.871249999999996</v>
      </c>
    </row>
    <row r="54" spans="1:13" x14ac:dyDescent="0.25">
      <c r="A54" s="2">
        <v>45570</v>
      </c>
      <c r="B54" t="s">
        <v>15</v>
      </c>
      <c r="C54" t="s">
        <v>12</v>
      </c>
      <c r="D54" t="s">
        <v>27</v>
      </c>
      <c r="E54">
        <v>51088</v>
      </c>
      <c r="F54">
        <v>2701</v>
      </c>
      <c r="G54">
        <v>4738.49</v>
      </c>
      <c r="H54">
        <v>111</v>
      </c>
      <c r="I54">
        <v>21561.07</v>
      </c>
      <c r="J54" s="3">
        <f t="shared" si="0"/>
        <v>4.10958904109589</v>
      </c>
      <c r="K54" s="3">
        <f t="shared" si="1"/>
        <v>42.689099099099096</v>
      </c>
      <c r="L54" s="3">
        <f t="shared" si="2"/>
        <v>4.5501984809506828</v>
      </c>
      <c r="M54" s="3">
        <f t="shared" si="3"/>
        <v>194.24387387387387</v>
      </c>
    </row>
    <row r="55" spans="1:13" x14ac:dyDescent="0.25">
      <c r="A55" s="2">
        <v>45570</v>
      </c>
      <c r="B55" t="s">
        <v>15</v>
      </c>
      <c r="C55" t="s">
        <v>14</v>
      </c>
      <c r="D55" t="s">
        <v>16</v>
      </c>
      <c r="E55">
        <v>5806</v>
      </c>
      <c r="F55">
        <v>195</v>
      </c>
      <c r="G55">
        <v>263.62</v>
      </c>
      <c r="H55">
        <v>13</v>
      </c>
      <c r="I55">
        <v>653.33000000000004</v>
      </c>
      <c r="J55" s="3">
        <f t="shared" si="0"/>
        <v>6.666666666666667</v>
      </c>
      <c r="K55" s="3">
        <f t="shared" si="1"/>
        <v>20.278461538461539</v>
      </c>
      <c r="L55" s="3">
        <f t="shared" si="2"/>
        <v>2.4783021015097488</v>
      </c>
      <c r="M55" s="3">
        <f t="shared" si="3"/>
        <v>50.25615384615385</v>
      </c>
    </row>
    <row r="56" spans="1:13" x14ac:dyDescent="0.25">
      <c r="A56" s="2">
        <v>45570</v>
      </c>
      <c r="B56" t="s">
        <v>19</v>
      </c>
      <c r="C56" t="s">
        <v>10</v>
      </c>
      <c r="D56" t="s">
        <v>26</v>
      </c>
      <c r="E56">
        <v>20650</v>
      </c>
      <c r="F56">
        <v>486</v>
      </c>
      <c r="G56">
        <v>885.06</v>
      </c>
      <c r="H56">
        <v>32</v>
      </c>
      <c r="I56">
        <v>3745.36</v>
      </c>
      <c r="J56" s="3">
        <f t="shared" si="0"/>
        <v>6.5843621399176957</v>
      </c>
      <c r="K56" s="3">
        <f t="shared" si="1"/>
        <v>27.658124999999998</v>
      </c>
      <c r="L56" s="3">
        <f t="shared" si="2"/>
        <v>4.2317582988723936</v>
      </c>
      <c r="M56" s="3">
        <f t="shared" si="3"/>
        <v>117.0425</v>
      </c>
    </row>
    <row r="57" spans="1:13" x14ac:dyDescent="0.25">
      <c r="A57" s="2">
        <v>45570</v>
      </c>
      <c r="B57" t="s">
        <v>19</v>
      </c>
      <c r="C57" t="s">
        <v>12</v>
      </c>
      <c r="D57" t="s">
        <v>22</v>
      </c>
      <c r="E57">
        <v>53327</v>
      </c>
      <c r="F57">
        <v>2802</v>
      </c>
      <c r="G57">
        <v>3384.62</v>
      </c>
      <c r="H57">
        <v>110</v>
      </c>
      <c r="I57">
        <v>11209.88</v>
      </c>
      <c r="J57" s="3">
        <f t="shared" si="0"/>
        <v>3.9257673090649536</v>
      </c>
      <c r="K57" s="3">
        <f t="shared" si="1"/>
        <v>30.769272727272725</v>
      </c>
      <c r="L57" s="3">
        <f t="shared" si="2"/>
        <v>3.3120054836288859</v>
      </c>
      <c r="M57" s="3">
        <f t="shared" si="3"/>
        <v>101.90799999999999</v>
      </c>
    </row>
    <row r="58" spans="1:13" x14ac:dyDescent="0.25">
      <c r="A58" s="2">
        <v>45570</v>
      </c>
      <c r="B58" t="s">
        <v>19</v>
      </c>
      <c r="C58" t="s">
        <v>14</v>
      </c>
      <c r="D58" t="s">
        <v>20</v>
      </c>
      <c r="E58">
        <v>2701</v>
      </c>
      <c r="F58">
        <v>111</v>
      </c>
      <c r="G58">
        <v>302.02999999999997</v>
      </c>
      <c r="H58">
        <v>16</v>
      </c>
      <c r="I58">
        <v>999.62</v>
      </c>
      <c r="J58" s="3">
        <f t="shared" si="0"/>
        <v>14.414414414414415</v>
      </c>
      <c r="K58" s="3">
        <f t="shared" si="1"/>
        <v>18.876874999999998</v>
      </c>
      <c r="L58" s="3">
        <f t="shared" si="2"/>
        <v>3.3096712247127771</v>
      </c>
      <c r="M58" s="3">
        <f t="shared" si="3"/>
        <v>62.47625</v>
      </c>
    </row>
    <row r="59" spans="1:13" x14ac:dyDescent="0.25">
      <c r="A59" s="2">
        <v>45570</v>
      </c>
      <c r="B59" t="s">
        <v>23</v>
      </c>
      <c r="C59" t="s">
        <v>10</v>
      </c>
      <c r="D59" t="s">
        <v>25</v>
      </c>
      <c r="E59">
        <v>25600</v>
      </c>
      <c r="F59">
        <v>802</v>
      </c>
      <c r="G59">
        <v>837.81</v>
      </c>
      <c r="H59">
        <v>11</v>
      </c>
      <c r="I59">
        <v>1301.6199999999999</v>
      </c>
      <c r="J59" s="3">
        <f t="shared" si="0"/>
        <v>1.3715710723192018</v>
      </c>
      <c r="K59" s="3">
        <f t="shared" si="1"/>
        <v>76.164545454545447</v>
      </c>
      <c r="L59" s="3">
        <f t="shared" si="2"/>
        <v>1.5535980711617192</v>
      </c>
      <c r="M59" s="3">
        <f t="shared" si="3"/>
        <v>118.32909090909089</v>
      </c>
    </row>
    <row r="60" spans="1:13" x14ac:dyDescent="0.25">
      <c r="A60" s="2">
        <v>45570</v>
      </c>
      <c r="B60" t="s">
        <v>23</v>
      </c>
      <c r="C60" t="s">
        <v>12</v>
      </c>
      <c r="D60" t="s">
        <v>25</v>
      </c>
      <c r="E60">
        <v>61502</v>
      </c>
      <c r="F60">
        <v>2416</v>
      </c>
      <c r="G60">
        <v>1973.22</v>
      </c>
      <c r="H60">
        <v>209</v>
      </c>
      <c r="I60">
        <v>6728.51</v>
      </c>
      <c r="J60" s="3">
        <f t="shared" si="0"/>
        <v>8.6506622516556284</v>
      </c>
      <c r="K60" s="3">
        <f t="shared" si="1"/>
        <v>9.4412440191387557</v>
      </c>
      <c r="L60" s="3">
        <f t="shared" si="2"/>
        <v>3.4099137450461683</v>
      </c>
      <c r="M60" s="3">
        <f t="shared" si="3"/>
        <v>32.193827751196174</v>
      </c>
    </row>
    <row r="61" spans="1:13" x14ac:dyDescent="0.25">
      <c r="A61" s="2">
        <v>45570</v>
      </c>
      <c r="B61" t="s">
        <v>23</v>
      </c>
      <c r="C61" t="s">
        <v>14</v>
      </c>
      <c r="D61" t="s">
        <v>29</v>
      </c>
      <c r="E61">
        <v>6534</v>
      </c>
      <c r="F61">
        <v>185</v>
      </c>
      <c r="G61">
        <v>170.32</v>
      </c>
      <c r="H61">
        <v>18</v>
      </c>
      <c r="I61">
        <v>418.48</v>
      </c>
      <c r="J61" s="3">
        <f t="shared" si="0"/>
        <v>9.7297297297297298</v>
      </c>
      <c r="K61" s="3">
        <f t="shared" si="1"/>
        <v>9.4622222222222216</v>
      </c>
      <c r="L61" s="3">
        <f t="shared" si="2"/>
        <v>2.4570220760920622</v>
      </c>
      <c r="M61" s="3">
        <f t="shared" si="3"/>
        <v>23.248888888888889</v>
      </c>
    </row>
    <row r="62" spans="1:13" x14ac:dyDescent="0.25">
      <c r="A62" s="2">
        <v>45571</v>
      </c>
      <c r="B62" t="s">
        <v>9</v>
      </c>
      <c r="C62" t="s">
        <v>10</v>
      </c>
      <c r="D62" t="s">
        <v>11</v>
      </c>
      <c r="E62">
        <v>18877</v>
      </c>
      <c r="F62">
        <v>613</v>
      </c>
      <c r="G62">
        <v>601.67999999999995</v>
      </c>
      <c r="H62">
        <v>17</v>
      </c>
      <c r="I62">
        <v>2371.15</v>
      </c>
      <c r="J62" s="3">
        <f t="shared" si="0"/>
        <v>2.7732463295269167</v>
      </c>
      <c r="K62" s="3">
        <f t="shared" si="1"/>
        <v>35.392941176470586</v>
      </c>
      <c r="L62" s="3">
        <f t="shared" si="2"/>
        <v>3.9408821965164211</v>
      </c>
      <c r="M62" s="3">
        <f t="shared" si="3"/>
        <v>139.4794117647059</v>
      </c>
    </row>
    <row r="63" spans="1:13" x14ac:dyDescent="0.25">
      <c r="A63" s="2">
        <v>45571</v>
      </c>
      <c r="B63" t="s">
        <v>9</v>
      </c>
      <c r="C63" t="s">
        <v>12</v>
      </c>
      <c r="D63" t="s">
        <v>16</v>
      </c>
      <c r="E63">
        <v>42835</v>
      </c>
      <c r="F63">
        <v>2521</v>
      </c>
      <c r="G63">
        <v>3143.46</v>
      </c>
      <c r="H63">
        <v>235</v>
      </c>
      <c r="I63">
        <v>12016.26</v>
      </c>
      <c r="J63" s="3">
        <f t="shared" si="0"/>
        <v>9.3216977389924622</v>
      </c>
      <c r="K63" s="3">
        <f t="shared" si="1"/>
        <v>13.376425531914894</v>
      </c>
      <c r="L63" s="3">
        <f t="shared" si="2"/>
        <v>3.8226222061041017</v>
      </c>
      <c r="M63" s="3">
        <f t="shared" si="3"/>
        <v>51.133021276595748</v>
      </c>
    </row>
    <row r="64" spans="1:13" x14ac:dyDescent="0.25">
      <c r="A64" s="2">
        <v>45571</v>
      </c>
      <c r="B64" t="s">
        <v>9</v>
      </c>
      <c r="C64" t="s">
        <v>14</v>
      </c>
      <c r="D64" t="s">
        <v>26</v>
      </c>
      <c r="E64">
        <v>3772</v>
      </c>
      <c r="F64">
        <v>239</v>
      </c>
      <c r="G64">
        <v>219.47</v>
      </c>
      <c r="H64">
        <v>19</v>
      </c>
      <c r="I64">
        <v>1077.8399999999999</v>
      </c>
      <c r="J64" s="3">
        <f t="shared" si="0"/>
        <v>7.9497907949790791</v>
      </c>
      <c r="K64" s="3">
        <f t="shared" si="1"/>
        <v>11.551052631578948</v>
      </c>
      <c r="L64" s="3">
        <f t="shared" si="2"/>
        <v>4.911104023328928</v>
      </c>
      <c r="M64" s="3">
        <f t="shared" si="3"/>
        <v>56.728421052631575</v>
      </c>
    </row>
    <row r="65" spans="1:13" x14ac:dyDescent="0.25">
      <c r="A65" s="2">
        <v>45571</v>
      </c>
      <c r="B65" t="s">
        <v>15</v>
      </c>
      <c r="C65" t="s">
        <v>10</v>
      </c>
      <c r="D65" t="s">
        <v>27</v>
      </c>
      <c r="E65">
        <v>13294</v>
      </c>
      <c r="F65">
        <v>498</v>
      </c>
      <c r="G65">
        <v>655.5</v>
      </c>
      <c r="H65">
        <v>33</v>
      </c>
      <c r="I65">
        <v>1233.57</v>
      </c>
      <c r="J65" s="3">
        <f t="shared" si="0"/>
        <v>6.6265060240963862</v>
      </c>
      <c r="K65" s="3">
        <f t="shared" si="1"/>
        <v>19.863636363636363</v>
      </c>
      <c r="L65" s="3">
        <f t="shared" si="2"/>
        <v>1.8818764302059496</v>
      </c>
      <c r="M65" s="3">
        <f t="shared" si="3"/>
        <v>37.380909090909086</v>
      </c>
    </row>
    <row r="66" spans="1:13" x14ac:dyDescent="0.25">
      <c r="A66" s="2">
        <v>45571</v>
      </c>
      <c r="B66" t="s">
        <v>15</v>
      </c>
      <c r="C66" t="s">
        <v>12</v>
      </c>
      <c r="D66" t="s">
        <v>18</v>
      </c>
      <c r="E66">
        <v>43295</v>
      </c>
      <c r="F66">
        <v>1561</v>
      </c>
      <c r="G66">
        <v>1182.06</v>
      </c>
      <c r="H66">
        <v>53</v>
      </c>
      <c r="I66">
        <v>3904.07</v>
      </c>
      <c r="J66" s="3">
        <f t="shared" si="0"/>
        <v>3.3952594490711085</v>
      </c>
      <c r="K66" s="3">
        <f t="shared" si="1"/>
        <v>22.303018867924528</v>
      </c>
      <c r="L66" s="3">
        <f t="shared" si="2"/>
        <v>3.3027680489992051</v>
      </c>
      <c r="M66" s="3">
        <f t="shared" si="3"/>
        <v>73.661698113207549</v>
      </c>
    </row>
    <row r="67" spans="1:13" x14ac:dyDescent="0.25">
      <c r="A67" s="2">
        <v>45571</v>
      </c>
      <c r="B67" t="s">
        <v>15</v>
      </c>
      <c r="C67" t="s">
        <v>14</v>
      </c>
      <c r="D67" t="s">
        <v>16</v>
      </c>
      <c r="E67">
        <v>7225</v>
      </c>
      <c r="F67">
        <v>242</v>
      </c>
      <c r="G67">
        <v>221.81</v>
      </c>
      <c r="H67">
        <v>1</v>
      </c>
      <c r="I67">
        <v>750.04</v>
      </c>
      <c r="J67" s="3">
        <f t="shared" ref="J67:J130" si="4">(H67/F67) * 100</f>
        <v>0.41322314049586778</v>
      </c>
      <c r="K67" s="3">
        <f t="shared" ref="K67:K130" si="5" xml:space="preserve"> G67/H67</f>
        <v>221.81</v>
      </c>
      <c r="L67" s="3">
        <f t="shared" ref="L67:L130" si="6">I67/G67</f>
        <v>3.3814525945629139</v>
      </c>
      <c r="M67" s="3">
        <f t="shared" ref="M67:M130" si="7">I67/H67</f>
        <v>750.04</v>
      </c>
    </row>
    <row r="68" spans="1:13" x14ac:dyDescent="0.25">
      <c r="A68" s="2">
        <v>45571</v>
      </c>
      <c r="B68" t="s">
        <v>19</v>
      </c>
      <c r="C68" t="s">
        <v>10</v>
      </c>
      <c r="D68" t="s">
        <v>26</v>
      </c>
      <c r="E68">
        <v>25686</v>
      </c>
      <c r="F68">
        <v>751</v>
      </c>
      <c r="G68">
        <v>708.85</v>
      </c>
      <c r="H68">
        <v>13</v>
      </c>
      <c r="I68">
        <v>1530.7</v>
      </c>
      <c r="J68" s="3">
        <f t="shared" si="4"/>
        <v>1.7310252996005324</v>
      </c>
      <c r="K68" s="3">
        <f t="shared" si="5"/>
        <v>54.526923076923076</v>
      </c>
      <c r="L68" s="3">
        <f t="shared" si="6"/>
        <v>2.1594131339493545</v>
      </c>
      <c r="M68" s="3">
        <f t="shared" si="7"/>
        <v>117.74615384615385</v>
      </c>
    </row>
    <row r="69" spans="1:13" x14ac:dyDescent="0.25">
      <c r="A69" s="2">
        <v>45571</v>
      </c>
      <c r="B69" t="s">
        <v>19</v>
      </c>
      <c r="C69" t="s">
        <v>12</v>
      </c>
      <c r="D69" t="s">
        <v>26</v>
      </c>
      <c r="E69">
        <v>42476</v>
      </c>
      <c r="F69">
        <v>2683</v>
      </c>
      <c r="G69">
        <v>1261.3699999999999</v>
      </c>
      <c r="H69">
        <v>165</v>
      </c>
      <c r="I69">
        <v>1868.74</v>
      </c>
      <c r="J69" s="3">
        <f t="shared" si="4"/>
        <v>6.1498322773015284</v>
      </c>
      <c r="K69" s="3">
        <f t="shared" si="5"/>
        <v>7.6446666666666658</v>
      </c>
      <c r="L69" s="3">
        <f t="shared" si="6"/>
        <v>1.4815161292879966</v>
      </c>
      <c r="M69" s="3">
        <f t="shared" si="7"/>
        <v>11.32569696969697</v>
      </c>
    </row>
    <row r="70" spans="1:13" x14ac:dyDescent="0.25">
      <c r="A70" s="2">
        <v>45571</v>
      </c>
      <c r="B70" t="s">
        <v>19</v>
      </c>
      <c r="C70" t="s">
        <v>14</v>
      </c>
      <c r="D70" t="s">
        <v>21</v>
      </c>
      <c r="E70">
        <v>3242</v>
      </c>
      <c r="F70">
        <v>88</v>
      </c>
      <c r="G70">
        <v>333.9</v>
      </c>
      <c r="H70">
        <v>10</v>
      </c>
      <c r="I70">
        <v>508.76</v>
      </c>
      <c r="J70" s="3">
        <f t="shared" si="4"/>
        <v>11.363636363636363</v>
      </c>
      <c r="K70" s="3">
        <f t="shared" si="5"/>
        <v>33.39</v>
      </c>
      <c r="L70" s="3">
        <f t="shared" si="6"/>
        <v>1.5236897274633125</v>
      </c>
      <c r="M70" s="3">
        <f t="shared" si="7"/>
        <v>50.875999999999998</v>
      </c>
    </row>
    <row r="71" spans="1:13" x14ac:dyDescent="0.25">
      <c r="A71" s="2">
        <v>45571</v>
      </c>
      <c r="B71" t="s">
        <v>23</v>
      </c>
      <c r="C71" t="s">
        <v>10</v>
      </c>
      <c r="D71" t="s">
        <v>25</v>
      </c>
      <c r="E71">
        <v>13881</v>
      </c>
      <c r="F71">
        <v>871</v>
      </c>
      <c r="G71">
        <v>1217.33</v>
      </c>
      <c r="H71">
        <v>48</v>
      </c>
      <c r="I71">
        <v>4218.3900000000003</v>
      </c>
      <c r="J71" s="3">
        <f t="shared" si="4"/>
        <v>5.5109070034443164</v>
      </c>
      <c r="K71" s="3">
        <f t="shared" si="5"/>
        <v>25.361041666666665</v>
      </c>
      <c r="L71" s="3">
        <f t="shared" si="6"/>
        <v>3.4652805730574294</v>
      </c>
      <c r="M71" s="3">
        <f t="shared" si="7"/>
        <v>87.883125000000007</v>
      </c>
    </row>
    <row r="72" spans="1:13" x14ac:dyDescent="0.25">
      <c r="A72" s="2">
        <v>45571</v>
      </c>
      <c r="B72" t="s">
        <v>23</v>
      </c>
      <c r="C72" t="s">
        <v>12</v>
      </c>
      <c r="D72" t="s">
        <v>25</v>
      </c>
      <c r="E72">
        <v>69247</v>
      </c>
      <c r="F72">
        <v>1779</v>
      </c>
      <c r="G72">
        <v>2802.06</v>
      </c>
      <c r="H72">
        <v>153</v>
      </c>
      <c r="I72">
        <v>6528.64</v>
      </c>
      <c r="J72" s="3">
        <f t="shared" si="4"/>
        <v>8.6003372681281629</v>
      </c>
      <c r="K72" s="3">
        <f t="shared" si="5"/>
        <v>18.314117647058822</v>
      </c>
      <c r="L72" s="3">
        <f t="shared" si="6"/>
        <v>2.3299429705288253</v>
      </c>
      <c r="M72" s="3">
        <f t="shared" si="7"/>
        <v>42.670849673202618</v>
      </c>
    </row>
    <row r="73" spans="1:13" x14ac:dyDescent="0.25">
      <c r="A73" s="2">
        <v>45571</v>
      </c>
      <c r="B73" t="s">
        <v>23</v>
      </c>
      <c r="C73" t="s">
        <v>14</v>
      </c>
      <c r="D73" t="s">
        <v>29</v>
      </c>
      <c r="E73">
        <v>4501</v>
      </c>
      <c r="F73">
        <v>195</v>
      </c>
      <c r="G73">
        <v>267.36</v>
      </c>
      <c r="H73">
        <v>20</v>
      </c>
      <c r="I73">
        <v>1296.27</v>
      </c>
      <c r="J73" s="3">
        <f t="shared" si="4"/>
        <v>10.256410256410255</v>
      </c>
      <c r="K73" s="3">
        <f t="shared" si="5"/>
        <v>13.368</v>
      </c>
      <c r="L73" s="3">
        <f t="shared" si="6"/>
        <v>4.8484066427289045</v>
      </c>
      <c r="M73" s="3">
        <f t="shared" si="7"/>
        <v>64.813500000000005</v>
      </c>
    </row>
    <row r="74" spans="1:13" x14ac:dyDescent="0.25">
      <c r="A74" s="2">
        <v>45572</v>
      </c>
      <c r="B74" t="s">
        <v>9</v>
      </c>
      <c r="C74" t="s">
        <v>10</v>
      </c>
      <c r="D74" t="s">
        <v>13</v>
      </c>
      <c r="E74">
        <v>16808</v>
      </c>
      <c r="F74">
        <v>516</v>
      </c>
      <c r="G74">
        <v>617.58000000000004</v>
      </c>
      <c r="H74">
        <v>15</v>
      </c>
      <c r="I74">
        <v>1109.68</v>
      </c>
      <c r="J74" s="3">
        <f t="shared" si="4"/>
        <v>2.9069767441860463</v>
      </c>
      <c r="K74" s="3">
        <f t="shared" si="5"/>
        <v>41.172000000000004</v>
      </c>
      <c r="L74" s="3">
        <f t="shared" si="6"/>
        <v>1.796819845202241</v>
      </c>
      <c r="M74" s="3">
        <f t="shared" si="7"/>
        <v>73.978666666666669</v>
      </c>
    </row>
    <row r="75" spans="1:13" x14ac:dyDescent="0.25">
      <c r="A75" s="2">
        <v>45572</v>
      </c>
      <c r="B75" t="s">
        <v>9</v>
      </c>
      <c r="C75" t="s">
        <v>12</v>
      </c>
      <c r="D75" t="s">
        <v>26</v>
      </c>
      <c r="E75">
        <v>39919</v>
      </c>
      <c r="F75">
        <v>1320</v>
      </c>
      <c r="G75">
        <v>1010.7</v>
      </c>
      <c r="H75">
        <v>155</v>
      </c>
      <c r="I75">
        <v>3860.48</v>
      </c>
      <c r="J75" s="3">
        <f t="shared" si="4"/>
        <v>11.742424242424242</v>
      </c>
      <c r="K75" s="3">
        <f t="shared" si="5"/>
        <v>6.5206451612903225</v>
      </c>
      <c r="L75" s="3">
        <f t="shared" si="6"/>
        <v>3.8196101711684971</v>
      </c>
      <c r="M75" s="3">
        <f t="shared" si="7"/>
        <v>24.90632258064516</v>
      </c>
    </row>
    <row r="76" spans="1:13" x14ac:dyDescent="0.25">
      <c r="A76" s="2">
        <v>45572</v>
      </c>
      <c r="B76" t="s">
        <v>9</v>
      </c>
      <c r="C76" t="s">
        <v>14</v>
      </c>
      <c r="D76" t="s">
        <v>11</v>
      </c>
      <c r="E76">
        <v>4385</v>
      </c>
      <c r="F76">
        <v>58</v>
      </c>
      <c r="G76">
        <v>131.02000000000001</v>
      </c>
      <c r="H76">
        <v>10</v>
      </c>
      <c r="I76">
        <v>507.22</v>
      </c>
      <c r="J76" s="3">
        <f t="shared" si="4"/>
        <v>17.241379310344829</v>
      </c>
      <c r="K76" s="3">
        <f t="shared" si="5"/>
        <v>13.102</v>
      </c>
      <c r="L76" s="3">
        <f t="shared" si="6"/>
        <v>3.8713173561288352</v>
      </c>
      <c r="M76" s="3">
        <f t="shared" si="7"/>
        <v>50.722000000000001</v>
      </c>
    </row>
    <row r="77" spans="1:13" x14ac:dyDescent="0.25">
      <c r="A77" s="2">
        <v>45572</v>
      </c>
      <c r="B77" t="s">
        <v>15</v>
      </c>
      <c r="C77" t="s">
        <v>10</v>
      </c>
      <c r="D77" t="s">
        <v>17</v>
      </c>
      <c r="E77">
        <v>12332</v>
      </c>
      <c r="F77">
        <v>539</v>
      </c>
      <c r="G77">
        <v>1408.69</v>
      </c>
      <c r="H77">
        <v>60</v>
      </c>
      <c r="I77">
        <v>5925.99</v>
      </c>
      <c r="J77" s="3">
        <f t="shared" si="4"/>
        <v>11.131725417439704</v>
      </c>
      <c r="K77" s="3">
        <f t="shared" si="5"/>
        <v>23.478166666666667</v>
      </c>
      <c r="L77" s="3">
        <f t="shared" si="6"/>
        <v>4.2067381751840358</v>
      </c>
      <c r="M77" s="3">
        <f t="shared" si="7"/>
        <v>98.766499999999994</v>
      </c>
    </row>
    <row r="78" spans="1:13" x14ac:dyDescent="0.25">
      <c r="A78" s="2">
        <v>45572</v>
      </c>
      <c r="B78" t="s">
        <v>15</v>
      </c>
      <c r="C78" t="s">
        <v>12</v>
      </c>
      <c r="D78" t="s">
        <v>16</v>
      </c>
      <c r="E78">
        <v>62861</v>
      </c>
      <c r="F78">
        <v>1235</v>
      </c>
      <c r="G78">
        <v>3178.25</v>
      </c>
      <c r="H78">
        <v>205</v>
      </c>
      <c r="I78">
        <v>5613.3</v>
      </c>
      <c r="J78" s="3">
        <f t="shared" si="4"/>
        <v>16.599190283400812</v>
      </c>
      <c r="K78" s="3">
        <f t="shared" si="5"/>
        <v>15.503658536585366</v>
      </c>
      <c r="L78" s="3">
        <f t="shared" si="6"/>
        <v>1.7661606229843467</v>
      </c>
      <c r="M78" s="3">
        <f t="shared" si="7"/>
        <v>27.381951219512196</v>
      </c>
    </row>
    <row r="79" spans="1:13" x14ac:dyDescent="0.25">
      <c r="A79" s="2">
        <v>45572</v>
      </c>
      <c r="B79" t="s">
        <v>15</v>
      </c>
      <c r="C79" t="s">
        <v>14</v>
      </c>
      <c r="D79" t="s">
        <v>27</v>
      </c>
      <c r="E79">
        <v>3165</v>
      </c>
      <c r="F79">
        <v>68</v>
      </c>
      <c r="G79">
        <v>70.87</v>
      </c>
      <c r="H79">
        <v>10</v>
      </c>
      <c r="I79">
        <v>245.29</v>
      </c>
      <c r="J79" s="3">
        <f t="shared" si="4"/>
        <v>14.705882352941178</v>
      </c>
      <c r="K79" s="3">
        <f t="shared" si="5"/>
        <v>7.0870000000000006</v>
      </c>
      <c r="L79" s="3">
        <f t="shared" si="6"/>
        <v>3.4611260053619302</v>
      </c>
      <c r="M79" s="3">
        <f t="shared" si="7"/>
        <v>24.529</v>
      </c>
    </row>
    <row r="80" spans="1:13" x14ac:dyDescent="0.25">
      <c r="A80" s="2">
        <v>45572</v>
      </c>
      <c r="B80" t="s">
        <v>19</v>
      </c>
      <c r="C80" t="s">
        <v>10</v>
      </c>
      <c r="D80" t="s">
        <v>22</v>
      </c>
      <c r="E80">
        <v>24390</v>
      </c>
      <c r="F80">
        <v>427</v>
      </c>
      <c r="G80">
        <v>862.44</v>
      </c>
      <c r="H80">
        <v>29</v>
      </c>
      <c r="I80">
        <v>3328.15</v>
      </c>
      <c r="J80" s="3">
        <f t="shared" si="4"/>
        <v>6.7915690866510543</v>
      </c>
      <c r="K80" s="3">
        <f t="shared" si="5"/>
        <v>29.739310344827587</v>
      </c>
      <c r="L80" s="3">
        <f t="shared" si="6"/>
        <v>3.8589930893743332</v>
      </c>
      <c r="M80" s="3">
        <f t="shared" si="7"/>
        <v>114.76379310344828</v>
      </c>
    </row>
    <row r="81" spans="1:13" x14ac:dyDescent="0.25">
      <c r="A81" s="2">
        <v>45572</v>
      </c>
      <c r="B81" t="s">
        <v>19</v>
      </c>
      <c r="C81" t="s">
        <v>12</v>
      </c>
      <c r="D81" t="s">
        <v>22</v>
      </c>
      <c r="E81">
        <v>67798</v>
      </c>
      <c r="F81">
        <v>2105</v>
      </c>
      <c r="G81">
        <v>2975.18</v>
      </c>
      <c r="H81">
        <v>60</v>
      </c>
      <c r="I81">
        <v>10331.43</v>
      </c>
      <c r="J81" s="3">
        <f t="shared" si="4"/>
        <v>2.8503562945368173</v>
      </c>
      <c r="K81" s="3">
        <f t="shared" si="5"/>
        <v>49.586333333333329</v>
      </c>
      <c r="L81" s="3">
        <f t="shared" si="6"/>
        <v>3.4725394766030964</v>
      </c>
      <c r="M81" s="3">
        <f t="shared" si="7"/>
        <v>172.19050000000001</v>
      </c>
    </row>
    <row r="82" spans="1:13" x14ac:dyDescent="0.25">
      <c r="A82" s="2">
        <v>45572</v>
      </c>
      <c r="B82" t="s">
        <v>19</v>
      </c>
      <c r="C82" t="s">
        <v>14</v>
      </c>
      <c r="D82" t="s">
        <v>26</v>
      </c>
      <c r="E82">
        <v>4640</v>
      </c>
      <c r="F82">
        <v>204</v>
      </c>
      <c r="G82">
        <v>137.63</v>
      </c>
      <c r="H82">
        <v>3</v>
      </c>
      <c r="I82">
        <v>284.88</v>
      </c>
      <c r="J82" s="3">
        <f t="shared" si="4"/>
        <v>1.4705882352941175</v>
      </c>
      <c r="K82" s="3">
        <f t="shared" si="5"/>
        <v>45.876666666666665</v>
      </c>
      <c r="L82" s="3">
        <f t="shared" si="6"/>
        <v>2.0698975514059437</v>
      </c>
      <c r="M82" s="3">
        <f t="shared" si="7"/>
        <v>94.96</v>
      </c>
    </row>
    <row r="83" spans="1:13" x14ac:dyDescent="0.25">
      <c r="A83" s="2">
        <v>45572</v>
      </c>
      <c r="B83" t="s">
        <v>23</v>
      </c>
      <c r="C83" t="s">
        <v>10</v>
      </c>
      <c r="D83" t="s">
        <v>28</v>
      </c>
      <c r="E83">
        <v>18831</v>
      </c>
      <c r="F83">
        <v>890</v>
      </c>
      <c r="G83">
        <v>348.28</v>
      </c>
      <c r="H83">
        <v>58</v>
      </c>
      <c r="I83">
        <v>649.79</v>
      </c>
      <c r="J83" s="3">
        <f t="shared" si="4"/>
        <v>6.5168539325842696</v>
      </c>
      <c r="K83" s="3">
        <f t="shared" si="5"/>
        <v>6.0048275862068961</v>
      </c>
      <c r="L83" s="3">
        <f t="shared" si="6"/>
        <v>1.8657114964970714</v>
      </c>
      <c r="M83" s="3">
        <f t="shared" si="7"/>
        <v>11.203275862068965</v>
      </c>
    </row>
    <row r="84" spans="1:13" x14ac:dyDescent="0.25">
      <c r="A84" s="2">
        <v>45572</v>
      </c>
      <c r="B84" t="s">
        <v>23</v>
      </c>
      <c r="C84" t="s">
        <v>12</v>
      </c>
      <c r="D84" t="s">
        <v>29</v>
      </c>
      <c r="E84">
        <v>53229</v>
      </c>
      <c r="F84">
        <v>1371</v>
      </c>
      <c r="G84">
        <v>4987.78</v>
      </c>
      <c r="H84">
        <v>151</v>
      </c>
      <c r="I84">
        <v>18016.77</v>
      </c>
      <c r="J84" s="3">
        <f t="shared" si="4"/>
        <v>11.013858497447119</v>
      </c>
      <c r="K84" s="3">
        <f t="shared" si="5"/>
        <v>33.031655629139074</v>
      </c>
      <c r="L84" s="3">
        <f t="shared" si="6"/>
        <v>3.6121821732313779</v>
      </c>
      <c r="M84" s="3">
        <f t="shared" si="7"/>
        <v>119.31635761589405</v>
      </c>
    </row>
    <row r="85" spans="1:13" x14ac:dyDescent="0.25">
      <c r="A85" s="2">
        <v>45572</v>
      </c>
      <c r="B85" t="s">
        <v>23</v>
      </c>
      <c r="C85" t="s">
        <v>14</v>
      </c>
      <c r="D85" t="s">
        <v>29</v>
      </c>
      <c r="E85">
        <v>2747</v>
      </c>
      <c r="F85">
        <v>170</v>
      </c>
      <c r="G85">
        <v>171.79</v>
      </c>
      <c r="H85">
        <v>11</v>
      </c>
      <c r="I85">
        <v>415.74</v>
      </c>
      <c r="J85" s="3">
        <f t="shared" si="4"/>
        <v>6.4705882352941186</v>
      </c>
      <c r="K85" s="3">
        <f t="shared" si="5"/>
        <v>15.617272727272727</v>
      </c>
      <c r="L85" s="3">
        <f t="shared" si="6"/>
        <v>2.4200477326968977</v>
      </c>
      <c r="M85" s="3">
        <f t="shared" si="7"/>
        <v>37.794545454545457</v>
      </c>
    </row>
    <row r="86" spans="1:13" x14ac:dyDescent="0.25">
      <c r="A86" s="2">
        <v>45573</v>
      </c>
      <c r="B86" t="s">
        <v>9</v>
      </c>
      <c r="C86" t="s">
        <v>10</v>
      </c>
      <c r="D86" t="s">
        <v>13</v>
      </c>
      <c r="E86">
        <v>15269</v>
      </c>
      <c r="F86">
        <v>637</v>
      </c>
      <c r="G86">
        <v>793.97</v>
      </c>
      <c r="H86">
        <v>41</v>
      </c>
      <c r="I86">
        <v>1822.34</v>
      </c>
      <c r="J86" s="3">
        <f t="shared" si="4"/>
        <v>6.4364207221350087</v>
      </c>
      <c r="K86" s="3">
        <f t="shared" si="5"/>
        <v>19.365121951219514</v>
      </c>
      <c r="L86" s="3">
        <f t="shared" si="6"/>
        <v>2.295225260400267</v>
      </c>
      <c r="M86" s="3">
        <f t="shared" si="7"/>
        <v>44.44731707317073</v>
      </c>
    </row>
    <row r="87" spans="1:13" x14ac:dyDescent="0.25">
      <c r="A87" s="2">
        <v>45573</v>
      </c>
      <c r="B87" t="s">
        <v>9</v>
      </c>
      <c r="C87" t="s">
        <v>12</v>
      </c>
      <c r="D87" t="s">
        <v>11</v>
      </c>
      <c r="E87">
        <v>37404</v>
      </c>
      <c r="F87">
        <v>1931</v>
      </c>
      <c r="G87">
        <v>1352.24</v>
      </c>
      <c r="H87">
        <v>104</v>
      </c>
      <c r="I87">
        <v>3283.83</v>
      </c>
      <c r="J87" s="3">
        <f t="shared" si="4"/>
        <v>5.3858104609010873</v>
      </c>
      <c r="K87" s="3">
        <f t="shared" si="5"/>
        <v>13.002307692307692</v>
      </c>
      <c r="L87" s="3">
        <f t="shared" si="6"/>
        <v>2.4284372596580486</v>
      </c>
      <c r="M87" s="3">
        <f t="shared" si="7"/>
        <v>31.575288461538459</v>
      </c>
    </row>
    <row r="88" spans="1:13" x14ac:dyDescent="0.25">
      <c r="A88" s="2">
        <v>45573</v>
      </c>
      <c r="B88" t="s">
        <v>9</v>
      </c>
      <c r="C88" t="s">
        <v>14</v>
      </c>
      <c r="D88" t="s">
        <v>11</v>
      </c>
      <c r="E88">
        <v>6215</v>
      </c>
      <c r="F88">
        <v>50</v>
      </c>
      <c r="G88">
        <v>280.18</v>
      </c>
      <c r="H88">
        <v>18</v>
      </c>
      <c r="I88">
        <v>828.07</v>
      </c>
      <c r="J88" s="3">
        <f t="shared" si="4"/>
        <v>36</v>
      </c>
      <c r="K88" s="3">
        <f t="shared" si="5"/>
        <v>15.565555555555555</v>
      </c>
      <c r="L88" s="3">
        <f t="shared" si="6"/>
        <v>2.9554928974230852</v>
      </c>
      <c r="M88" s="3">
        <f t="shared" si="7"/>
        <v>46.003888888888895</v>
      </c>
    </row>
    <row r="89" spans="1:13" x14ac:dyDescent="0.25">
      <c r="A89" s="2">
        <v>45573</v>
      </c>
      <c r="B89" t="s">
        <v>15</v>
      </c>
      <c r="C89" t="s">
        <v>10</v>
      </c>
      <c r="D89" t="s">
        <v>18</v>
      </c>
      <c r="E89">
        <v>16146</v>
      </c>
      <c r="F89">
        <v>830</v>
      </c>
      <c r="G89">
        <v>734.14</v>
      </c>
      <c r="H89">
        <v>58</v>
      </c>
      <c r="I89">
        <v>2271.63</v>
      </c>
      <c r="J89" s="3">
        <f t="shared" si="4"/>
        <v>6.9879518072289164</v>
      </c>
      <c r="K89" s="3">
        <f t="shared" si="5"/>
        <v>12.657586206896552</v>
      </c>
      <c r="L89" s="3">
        <f t="shared" si="6"/>
        <v>3.0942735717982948</v>
      </c>
      <c r="M89" s="3">
        <f t="shared" si="7"/>
        <v>39.166034482758626</v>
      </c>
    </row>
    <row r="90" spans="1:13" x14ac:dyDescent="0.25">
      <c r="A90" s="2">
        <v>45573</v>
      </c>
      <c r="B90" t="s">
        <v>15</v>
      </c>
      <c r="C90" t="s">
        <v>12</v>
      </c>
      <c r="D90" t="s">
        <v>17</v>
      </c>
      <c r="E90">
        <v>38382</v>
      </c>
      <c r="F90">
        <v>1416</v>
      </c>
      <c r="G90">
        <v>2068.2199999999998</v>
      </c>
      <c r="H90">
        <v>73</v>
      </c>
      <c r="I90">
        <v>9772.66</v>
      </c>
      <c r="J90" s="3">
        <f t="shared" si="4"/>
        <v>5.1553672316384178</v>
      </c>
      <c r="K90" s="3">
        <f t="shared" si="5"/>
        <v>28.331780821917807</v>
      </c>
      <c r="L90" s="3">
        <f t="shared" si="6"/>
        <v>4.7251549641720905</v>
      </c>
      <c r="M90" s="3">
        <f t="shared" si="7"/>
        <v>133.87205479452055</v>
      </c>
    </row>
    <row r="91" spans="1:13" x14ac:dyDescent="0.25">
      <c r="A91" s="2">
        <v>45573</v>
      </c>
      <c r="B91" t="s">
        <v>15</v>
      </c>
      <c r="C91" t="s">
        <v>14</v>
      </c>
      <c r="D91" t="s">
        <v>17</v>
      </c>
      <c r="E91">
        <v>7720</v>
      </c>
      <c r="F91">
        <v>174</v>
      </c>
      <c r="G91">
        <v>92.5</v>
      </c>
      <c r="H91">
        <v>20</v>
      </c>
      <c r="I91">
        <v>391.96</v>
      </c>
      <c r="J91" s="3">
        <f t="shared" si="4"/>
        <v>11.494252873563218</v>
      </c>
      <c r="K91" s="3">
        <f t="shared" si="5"/>
        <v>4.625</v>
      </c>
      <c r="L91" s="3">
        <f t="shared" si="6"/>
        <v>4.2374054054054051</v>
      </c>
      <c r="M91" s="3">
        <f t="shared" si="7"/>
        <v>19.597999999999999</v>
      </c>
    </row>
    <row r="92" spans="1:13" x14ac:dyDescent="0.25">
      <c r="A92" s="2">
        <v>45573</v>
      </c>
      <c r="B92" t="s">
        <v>19</v>
      </c>
      <c r="C92" t="s">
        <v>10</v>
      </c>
      <c r="D92" t="s">
        <v>20</v>
      </c>
      <c r="E92">
        <v>20182</v>
      </c>
      <c r="F92">
        <v>864</v>
      </c>
      <c r="G92">
        <v>316.41000000000003</v>
      </c>
      <c r="H92">
        <v>36</v>
      </c>
      <c r="I92">
        <v>491.76</v>
      </c>
      <c r="J92" s="3">
        <f t="shared" si="4"/>
        <v>4.1666666666666661</v>
      </c>
      <c r="K92" s="3">
        <f t="shared" si="5"/>
        <v>8.7891666666666666</v>
      </c>
      <c r="L92" s="3">
        <f t="shared" si="6"/>
        <v>1.5541860244619321</v>
      </c>
      <c r="M92" s="3">
        <f t="shared" si="7"/>
        <v>13.66</v>
      </c>
    </row>
    <row r="93" spans="1:13" x14ac:dyDescent="0.25">
      <c r="A93" s="2">
        <v>45573</v>
      </c>
      <c r="B93" t="s">
        <v>19</v>
      </c>
      <c r="C93" t="s">
        <v>12</v>
      </c>
      <c r="D93" t="s">
        <v>21</v>
      </c>
      <c r="E93">
        <v>65241</v>
      </c>
      <c r="F93">
        <v>2939</v>
      </c>
      <c r="G93">
        <v>1469.86</v>
      </c>
      <c r="H93">
        <v>79</v>
      </c>
      <c r="I93">
        <v>4547.49</v>
      </c>
      <c r="J93" s="3">
        <f t="shared" si="4"/>
        <v>2.6879891119428376</v>
      </c>
      <c r="K93" s="3">
        <f t="shared" si="5"/>
        <v>18.605822784810126</v>
      </c>
      <c r="L93" s="3">
        <f t="shared" si="6"/>
        <v>3.0938252622698763</v>
      </c>
      <c r="M93" s="3">
        <f t="shared" si="7"/>
        <v>57.563164556962022</v>
      </c>
    </row>
    <row r="94" spans="1:13" x14ac:dyDescent="0.25">
      <c r="A94" s="2">
        <v>45573</v>
      </c>
      <c r="B94" t="s">
        <v>19</v>
      </c>
      <c r="C94" t="s">
        <v>14</v>
      </c>
      <c r="D94" t="s">
        <v>22</v>
      </c>
      <c r="E94">
        <v>6168</v>
      </c>
      <c r="F94">
        <v>230</v>
      </c>
      <c r="G94">
        <v>145.69999999999999</v>
      </c>
      <c r="H94">
        <v>16</v>
      </c>
      <c r="I94">
        <v>717.56</v>
      </c>
      <c r="J94" s="3">
        <f t="shared" si="4"/>
        <v>6.9565217391304346</v>
      </c>
      <c r="K94" s="3">
        <f t="shared" si="5"/>
        <v>9.1062499999999993</v>
      </c>
      <c r="L94" s="3">
        <f t="shared" si="6"/>
        <v>4.924914207275223</v>
      </c>
      <c r="M94" s="3">
        <f t="shared" si="7"/>
        <v>44.847499999999997</v>
      </c>
    </row>
    <row r="95" spans="1:13" x14ac:dyDescent="0.25">
      <c r="A95" s="2">
        <v>45573</v>
      </c>
      <c r="B95" t="s">
        <v>23</v>
      </c>
      <c r="C95" t="s">
        <v>10</v>
      </c>
      <c r="D95" t="s">
        <v>25</v>
      </c>
      <c r="E95">
        <v>24967</v>
      </c>
      <c r="F95">
        <v>864</v>
      </c>
      <c r="G95">
        <v>473.57</v>
      </c>
      <c r="H95">
        <v>22</v>
      </c>
      <c r="I95">
        <v>2227.25</v>
      </c>
      <c r="J95" s="3">
        <f t="shared" si="4"/>
        <v>2.5462962962962963</v>
      </c>
      <c r="K95" s="3">
        <f t="shared" si="5"/>
        <v>21.525909090909092</v>
      </c>
      <c r="L95" s="3">
        <f t="shared" si="6"/>
        <v>4.7031061933821823</v>
      </c>
      <c r="M95" s="3">
        <f t="shared" si="7"/>
        <v>101.23863636363636</v>
      </c>
    </row>
    <row r="96" spans="1:13" x14ac:dyDescent="0.25">
      <c r="A96" s="2">
        <v>45573</v>
      </c>
      <c r="B96" t="s">
        <v>23</v>
      </c>
      <c r="C96" t="s">
        <v>12</v>
      </c>
      <c r="D96" t="s">
        <v>25</v>
      </c>
      <c r="E96">
        <v>39575</v>
      </c>
      <c r="F96">
        <v>1565</v>
      </c>
      <c r="G96">
        <v>4090.7</v>
      </c>
      <c r="H96">
        <v>146</v>
      </c>
      <c r="I96">
        <v>10192.09</v>
      </c>
      <c r="J96" s="3">
        <f t="shared" si="4"/>
        <v>9.3290734824281145</v>
      </c>
      <c r="K96" s="3">
        <f t="shared" si="5"/>
        <v>28.018493150684929</v>
      </c>
      <c r="L96" s="3">
        <f t="shared" si="6"/>
        <v>2.4915271224973723</v>
      </c>
      <c r="M96" s="3">
        <f t="shared" si="7"/>
        <v>69.808835616438358</v>
      </c>
    </row>
    <row r="97" spans="1:13" x14ac:dyDescent="0.25">
      <c r="A97" s="2">
        <v>45573</v>
      </c>
      <c r="B97" t="s">
        <v>23</v>
      </c>
      <c r="C97" t="s">
        <v>14</v>
      </c>
      <c r="D97" t="s">
        <v>24</v>
      </c>
      <c r="E97">
        <v>2021</v>
      </c>
      <c r="F97">
        <v>122</v>
      </c>
      <c r="G97">
        <v>304.12</v>
      </c>
      <c r="H97">
        <v>19</v>
      </c>
      <c r="I97">
        <v>1035.1400000000001</v>
      </c>
      <c r="J97" s="3">
        <f t="shared" si="4"/>
        <v>15.573770491803279</v>
      </c>
      <c r="K97" s="3">
        <f t="shared" si="5"/>
        <v>16.006315789473685</v>
      </c>
      <c r="L97" s="3">
        <f t="shared" si="6"/>
        <v>3.4037222149151654</v>
      </c>
      <c r="M97" s="3">
        <f t="shared" si="7"/>
        <v>54.481052631578955</v>
      </c>
    </row>
    <row r="98" spans="1:13" x14ac:dyDescent="0.25">
      <c r="A98" s="2">
        <v>45574</v>
      </c>
      <c r="B98" t="s">
        <v>9</v>
      </c>
      <c r="C98" t="s">
        <v>10</v>
      </c>
      <c r="D98" t="s">
        <v>11</v>
      </c>
      <c r="E98">
        <v>14869</v>
      </c>
      <c r="F98">
        <v>757</v>
      </c>
      <c r="G98">
        <v>946.3</v>
      </c>
      <c r="H98">
        <v>32</v>
      </c>
      <c r="I98">
        <v>2330.9899999999998</v>
      </c>
      <c r="J98" s="3">
        <f t="shared" si="4"/>
        <v>4.2272126816380453</v>
      </c>
      <c r="K98" s="3">
        <f t="shared" si="5"/>
        <v>29.571874999999999</v>
      </c>
      <c r="L98" s="3">
        <f t="shared" si="6"/>
        <v>2.4632674627496565</v>
      </c>
      <c r="M98" s="3">
        <f t="shared" si="7"/>
        <v>72.843437499999993</v>
      </c>
    </row>
    <row r="99" spans="1:13" x14ac:dyDescent="0.25">
      <c r="A99" s="2">
        <v>45574</v>
      </c>
      <c r="B99" t="s">
        <v>9</v>
      </c>
      <c r="C99" t="s">
        <v>12</v>
      </c>
      <c r="D99" t="s">
        <v>11</v>
      </c>
      <c r="E99">
        <v>64841</v>
      </c>
      <c r="F99">
        <v>2910</v>
      </c>
      <c r="G99">
        <v>2287.11</v>
      </c>
      <c r="H99">
        <v>88</v>
      </c>
      <c r="I99">
        <v>11268.46</v>
      </c>
      <c r="J99" s="3">
        <f t="shared" si="4"/>
        <v>3.0240549828178693</v>
      </c>
      <c r="K99" s="3">
        <f t="shared" si="5"/>
        <v>25.989886363636366</v>
      </c>
      <c r="L99" s="3">
        <f t="shared" si="6"/>
        <v>4.9269427355920783</v>
      </c>
      <c r="M99" s="3">
        <f t="shared" si="7"/>
        <v>128.0506818181818</v>
      </c>
    </row>
    <row r="100" spans="1:13" x14ac:dyDescent="0.25">
      <c r="A100" s="2">
        <v>45574</v>
      </c>
      <c r="B100" t="s">
        <v>9</v>
      </c>
      <c r="C100" t="s">
        <v>14</v>
      </c>
      <c r="D100" t="s">
        <v>26</v>
      </c>
      <c r="E100">
        <v>6684</v>
      </c>
      <c r="F100">
        <v>148</v>
      </c>
      <c r="G100">
        <v>131.75</v>
      </c>
      <c r="H100">
        <v>14</v>
      </c>
      <c r="I100">
        <v>179.95</v>
      </c>
      <c r="J100" s="3">
        <f t="shared" si="4"/>
        <v>9.4594594594594597</v>
      </c>
      <c r="K100" s="3">
        <f t="shared" si="5"/>
        <v>9.4107142857142865</v>
      </c>
      <c r="L100" s="3">
        <f t="shared" si="6"/>
        <v>1.3658444022770397</v>
      </c>
      <c r="M100" s="3">
        <f t="shared" si="7"/>
        <v>12.853571428571428</v>
      </c>
    </row>
    <row r="101" spans="1:13" x14ac:dyDescent="0.25">
      <c r="A101" s="2">
        <v>45574</v>
      </c>
      <c r="B101" t="s">
        <v>15</v>
      </c>
      <c r="C101" t="s">
        <v>10</v>
      </c>
      <c r="D101" t="s">
        <v>17</v>
      </c>
      <c r="E101">
        <v>22492</v>
      </c>
      <c r="F101">
        <v>695</v>
      </c>
      <c r="G101">
        <v>1486.1</v>
      </c>
      <c r="H101">
        <v>60</v>
      </c>
      <c r="I101">
        <v>6418.23</v>
      </c>
      <c r="J101" s="3">
        <f t="shared" si="4"/>
        <v>8.6330935251798557</v>
      </c>
      <c r="K101" s="3">
        <f t="shared" si="5"/>
        <v>24.768333333333331</v>
      </c>
      <c r="L101" s="3">
        <f t="shared" si="6"/>
        <v>4.318841262364578</v>
      </c>
      <c r="M101" s="3">
        <f t="shared" si="7"/>
        <v>106.97049999999999</v>
      </c>
    </row>
    <row r="102" spans="1:13" x14ac:dyDescent="0.25">
      <c r="A102" s="2">
        <v>45574</v>
      </c>
      <c r="B102" t="s">
        <v>15</v>
      </c>
      <c r="C102" t="s">
        <v>12</v>
      </c>
      <c r="D102" t="s">
        <v>16</v>
      </c>
      <c r="E102">
        <v>67461</v>
      </c>
      <c r="F102">
        <v>2975</v>
      </c>
      <c r="G102">
        <v>1148.08</v>
      </c>
      <c r="H102">
        <v>168</v>
      </c>
      <c r="I102">
        <v>5589.25</v>
      </c>
      <c r="J102" s="3">
        <f t="shared" si="4"/>
        <v>5.6470588235294121</v>
      </c>
      <c r="K102" s="3">
        <f t="shared" si="5"/>
        <v>6.8338095238095233</v>
      </c>
      <c r="L102" s="3">
        <f t="shared" si="6"/>
        <v>4.8683454114695843</v>
      </c>
      <c r="M102" s="3">
        <f t="shared" si="7"/>
        <v>33.269345238095241</v>
      </c>
    </row>
    <row r="103" spans="1:13" x14ac:dyDescent="0.25">
      <c r="A103" s="2">
        <v>45574</v>
      </c>
      <c r="B103" t="s">
        <v>15</v>
      </c>
      <c r="C103" t="s">
        <v>14</v>
      </c>
      <c r="D103" t="s">
        <v>27</v>
      </c>
      <c r="E103">
        <v>2822</v>
      </c>
      <c r="F103">
        <v>162</v>
      </c>
      <c r="G103">
        <v>84.9</v>
      </c>
      <c r="H103">
        <v>15</v>
      </c>
      <c r="I103">
        <v>106.83</v>
      </c>
      <c r="J103" s="3">
        <f t="shared" si="4"/>
        <v>9.2592592592592595</v>
      </c>
      <c r="K103" s="3">
        <f t="shared" si="5"/>
        <v>5.66</v>
      </c>
      <c r="L103" s="3">
        <f t="shared" si="6"/>
        <v>1.258303886925795</v>
      </c>
      <c r="M103" s="3">
        <f t="shared" si="7"/>
        <v>7.1219999999999999</v>
      </c>
    </row>
    <row r="104" spans="1:13" x14ac:dyDescent="0.25">
      <c r="A104" s="2">
        <v>45574</v>
      </c>
      <c r="B104" t="s">
        <v>19</v>
      </c>
      <c r="C104" t="s">
        <v>10</v>
      </c>
      <c r="D104" t="s">
        <v>20</v>
      </c>
      <c r="E104">
        <v>23434</v>
      </c>
      <c r="F104">
        <v>458</v>
      </c>
      <c r="G104">
        <v>389.79</v>
      </c>
      <c r="H104">
        <v>60</v>
      </c>
      <c r="I104">
        <v>1903.33</v>
      </c>
      <c r="J104" s="3">
        <f t="shared" si="4"/>
        <v>13.100436681222707</v>
      </c>
      <c r="K104" s="3">
        <f t="shared" si="5"/>
        <v>6.4965000000000002</v>
      </c>
      <c r="L104" s="3">
        <f t="shared" si="6"/>
        <v>4.8829626208984322</v>
      </c>
      <c r="M104" s="3">
        <f t="shared" si="7"/>
        <v>31.722166666666666</v>
      </c>
    </row>
    <row r="105" spans="1:13" x14ac:dyDescent="0.25">
      <c r="A105" s="2">
        <v>45574</v>
      </c>
      <c r="B105" t="s">
        <v>19</v>
      </c>
      <c r="C105" t="s">
        <v>12</v>
      </c>
      <c r="D105" t="s">
        <v>22</v>
      </c>
      <c r="E105">
        <v>61049</v>
      </c>
      <c r="F105">
        <v>2330</v>
      </c>
      <c r="G105">
        <v>1321.26</v>
      </c>
      <c r="H105">
        <v>124</v>
      </c>
      <c r="I105">
        <v>5864.94</v>
      </c>
      <c r="J105" s="3">
        <f t="shared" si="4"/>
        <v>5.3218884120171674</v>
      </c>
      <c r="K105" s="3">
        <f t="shared" si="5"/>
        <v>10.65532258064516</v>
      </c>
      <c r="L105" s="3">
        <f t="shared" si="6"/>
        <v>4.4388992325507468</v>
      </c>
      <c r="M105" s="3">
        <f t="shared" si="7"/>
        <v>47.297903225806451</v>
      </c>
    </row>
    <row r="106" spans="1:13" x14ac:dyDescent="0.25">
      <c r="A106" s="2">
        <v>45574</v>
      </c>
      <c r="B106" t="s">
        <v>19</v>
      </c>
      <c r="C106" t="s">
        <v>14</v>
      </c>
      <c r="D106" t="s">
        <v>26</v>
      </c>
      <c r="E106">
        <v>4594</v>
      </c>
      <c r="F106">
        <v>210</v>
      </c>
      <c r="G106">
        <v>301.55</v>
      </c>
      <c r="H106">
        <v>16</v>
      </c>
      <c r="I106">
        <v>1361.51</v>
      </c>
      <c r="J106" s="3">
        <f t="shared" si="4"/>
        <v>7.6190476190476195</v>
      </c>
      <c r="K106" s="3">
        <f t="shared" si="5"/>
        <v>18.846875000000001</v>
      </c>
      <c r="L106" s="3">
        <f t="shared" si="6"/>
        <v>4.5150389653457133</v>
      </c>
      <c r="M106" s="3">
        <f t="shared" si="7"/>
        <v>85.094374999999999</v>
      </c>
    </row>
    <row r="107" spans="1:13" x14ac:dyDescent="0.25">
      <c r="A107" s="2">
        <v>45574</v>
      </c>
      <c r="B107" t="s">
        <v>23</v>
      </c>
      <c r="C107" t="s">
        <v>10</v>
      </c>
      <c r="D107" t="s">
        <v>28</v>
      </c>
      <c r="E107">
        <v>12242</v>
      </c>
      <c r="F107">
        <v>540</v>
      </c>
      <c r="G107">
        <v>1057.3900000000001</v>
      </c>
      <c r="H107">
        <v>28</v>
      </c>
      <c r="I107">
        <v>5276.61</v>
      </c>
      <c r="J107" s="3">
        <f t="shared" si="4"/>
        <v>5.1851851851851851</v>
      </c>
      <c r="K107" s="3">
        <f t="shared" si="5"/>
        <v>37.763928571428572</v>
      </c>
      <c r="L107" s="3">
        <f t="shared" si="6"/>
        <v>4.9902212050426042</v>
      </c>
      <c r="M107" s="3">
        <f t="shared" si="7"/>
        <v>188.45035714285714</v>
      </c>
    </row>
    <row r="108" spans="1:13" x14ac:dyDescent="0.25">
      <c r="A108" s="2">
        <v>45574</v>
      </c>
      <c r="B108" t="s">
        <v>23</v>
      </c>
      <c r="C108" t="s">
        <v>12</v>
      </c>
      <c r="D108" t="s">
        <v>28</v>
      </c>
      <c r="E108">
        <v>63440</v>
      </c>
      <c r="F108">
        <v>1201</v>
      </c>
      <c r="G108">
        <v>4041.48</v>
      </c>
      <c r="H108">
        <v>220</v>
      </c>
      <c r="I108">
        <v>18250.52</v>
      </c>
      <c r="J108" s="3">
        <f t="shared" si="4"/>
        <v>18.318068276436303</v>
      </c>
      <c r="K108" s="3">
        <f t="shared" si="5"/>
        <v>18.370363636363635</v>
      </c>
      <c r="L108" s="3">
        <f t="shared" si="6"/>
        <v>4.5158011421558442</v>
      </c>
      <c r="M108" s="3">
        <f t="shared" si="7"/>
        <v>82.956909090909093</v>
      </c>
    </row>
    <row r="109" spans="1:13" x14ac:dyDescent="0.25">
      <c r="A109" s="2">
        <v>45574</v>
      </c>
      <c r="B109" t="s">
        <v>23</v>
      </c>
      <c r="C109" t="s">
        <v>14</v>
      </c>
      <c r="D109" t="s">
        <v>29</v>
      </c>
      <c r="E109">
        <v>3362</v>
      </c>
      <c r="F109">
        <v>227</v>
      </c>
      <c r="G109">
        <v>154.81</v>
      </c>
      <c r="H109">
        <v>1</v>
      </c>
      <c r="I109">
        <v>212.83</v>
      </c>
      <c r="J109" s="3">
        <f t="shared" si="4"/>
        <v>0.44052863436123352</v>
      </c>
      <c r="K109" s="3">
        <f t="shared" si="5"/>
        <v>154.81</v>
      </c>
      <c r="L109" s="3">
        <f t="shared" si="6"/>
        <v>1.3747819908274659</v>
      </c>
      <c r="M109" s="3">
        <f t="shared" si="7"/>
        <v>212.83</v>
      </c>
    </row>
    <row r="110" spans="1:13" x14ac:dyDescent="0.25">
      <c r="A110" s="2">
        <v>45575</v>
      </c>
      <c r="B110" t="s">
        <v>9</v>
      </c>
      <c r="C110" t="s">
        <v>10</v>
      </c>
      <c r="D110" t="s">
        <v>13</v>
      </c>
      <c r="E110">
        <v>19613</v>
      </c>
      <c r="F110">
        <v>667</v>
      </c>
      <c r="G110">
        <v>749.81</v>
      </c>
      <c r="H110">
        <v>19</v>
      </c>
      <c r="I110">
        <v>1595.56</v>
      </c>
      <c r="J110" s="3">
        <f t="shared" si="4"/>
        <v>2.8485757121439281</v>
      </c>
      <c r="K110" s="3">
        <f t="shared" si="5"/>
        <v>39.46368421052631</v>
      </c>
      <c r="L110" s="3">
        <f t="shared" si="6"/>
        <v>2.1279524146117019</v>
      </c>
      <c r="M110" s="3">
        <f t="shared" si="7"/>
        <v>83.97684210526316</v>
      </c>
    </row>
    <row r="111" spans="1:13" x14ac:dyDescent="0.25">
      <c r="A111" s="2">
        <v>45575</v>
      </c>
      <c r="B111" t="s">
        <v>9</v>
      </c>
      <c r="C111" t="s">
        <v>12</v>
      </c>
      <c r="D111" t="s">
        <v>11</v>
      </c>
      <c r="E111">
        <v>46800</v>
      </c>
      <c r="F111">
        <v>1348</v>
      </c>
      <c r="G111">
        <v>1700.28</v>
      </c>
      <c r="H111">
        <v>196</v>
      </c>
      <c r="I111">
        <v>7666.89</v>
      </c>
      <c r="J111" s="3">
        <f t="shared" si="4"/>
        <v>14.540059347181009</v>
      </c>
      <c r="K111" s="3">
        <f t="shared" si="5"/>
        <v>8.6748979591836726</v>
      </c>
      <c r="L111" s="3">
        <f t="shared" si="6"/>
        <v>4.5091926035711767</v>
      </c>
      <c r="M111" s="3">
        <f t="shared" si="7"/>
        <v>39.116785714285719</v>
      </c>
    </row>
    <row r="112" spans="1:13" x14ac:dyDescent="0.25">
      <c r="A112" s="2">
        <v>45575</v>
      </c>
      <c r="B112" t="s">
        <v>9</v>
      </c>
      <c r="C112" t="s">
        <v>14</v>
      </c>
      <c r="D112" t="s">
        <v>26</v>
      </c>
      <c r="E112">
        <v>6076</v>
      </c>
      <c r="F112">
        <v>199</v>
      </c>
      <c r="G112">
        <v>100.09</v>
      </c>
      <c r="H112">
        <v>15</v>
      </c>
      <c r="I112">
        <v>362.73</v>
      </c>
      <c r="J112" s="3">
        <f t="shared" si="4"/>
        <v>7.5376884422110546</v>
      </c>
      <c r="K112" s="3">
        <f t="shared" si="5"/>
        <v>6.6726666666666672</v>
      </c>
      <c r="L112" s="3">
        <f t="shared" si="6"/>
        <v>3.6240383654710762</v>
      </c>
      <c r="M112" s="3">
        <f t="shared" si="7"/>
        <v>24.182000000000002</v>
      </c>
    </row>
    <row r="113" spans="1:13" x14ac:dyDescent="0.25">
      <c r="A113" s="2">
        <v>45575</v>
      </c>
      <c r="B113" t="s">
        <v>15</v>
      </c>
      <c r="C113" t="s">
        <v>10</v>
      </c>
      <c r="D113" t="s">
        <v>17</v>
      </c>
      <c r="E113">
        <v>18366</v>
      </c>
      <c r="F113">
        <v>309</v>
      </c>
      <c r="G113">
        <v>1378.69</v>
      </c>
      <c r="H113">
        <v>39</v>
      </c>
      <c r="I113">
        <v>6375.88</v>
      </c>
      <c r="J113" s="3">
        <f t="shared" si="4"/>
        <v>12.621359223300971</v>
      </c>
      <c r="K113" s="3">
        <f t="shared" si="5"/>
        <v>35.351025641025643</v>
      </c>
      <c r="L113" s="3">
        <f t="shared" si="6"/>
        <v>4.62459291066157</v>
      </c>
      <c r="M113" s="3">
        <f t="shared" si="7"/>
        <v>163.48410256410256</v>
      </c>
    </row>
    <row r="114" spans="1:13" x14ac:dyDescent="0.25">
      <c r="A114" s="2">
        <v>45575</v>
      </c>
      <c r="B114" t="s">
        <v>15</v>
      </c>
      <c r="C114" t="s">
        <v>12</v>
      </c>
      <c r="D114" t="s">
        <v>16</v>
      </c>
      <c r="E114">
        <v>39840</v>
      </c>
      <c r="F114">
        <v>1904</v>
      </c>
      <c r="G114">
        <v>4780.9399999999996</v>
      </c>
      <c r="H114">
        <v>190</v>
      </c>
      <c r="I114">
        <v>11172.03</v>
      </c>
      <c r="J114" s="3">
        <f t="shared" si="4"/>
        <v>9.9789915966386555</v>
      </c>
      <c r="K114" s="3">
        <f t="shared" si="5"/>
        <v>25.162842105263156</v>
      </c>
      <c r="L114" s="3">
        <f t="shared" si="6"/>
        <v>2.3367852347027993</v>
      </c>
      <c r="M114" s="3">
        <f t="shared" si="7"/>
        <v>58.800157894736849</v>
      </c>
    </row>
    <row r="115" spans="1:13" x14ac:dyDescent="0.25">
      <c r="A115" s="2">
        <v>45575</v>
      </c>
      <c r="B115" t="s">
        <v>15</v>
      </c>
      <c r="C115" t="s">
        <v>14</v>
      </c>
      <c r="D115" t="s">
        <v>17</v>
      </c>
      <c r="E115">
        <v>7655</v>
      </c>
      <c r="F115">
        <v>114</v>
      </c>
      <c r="G115">
        <v>209.89</v>
      </c>
      <c r="H115">
        <v>10</v>
      </c>
      <c r="I115">
        <v>410.76</v>
      </c>
      <c r="J115" s="3">
        <f t="shared" si="4"/>
        <v>8.7719298245614024</v>
      </c>
      <c r="K115" s="3">
        <f t="shared" si="5"/>
        <v>20.988999999999997</v>
      </c>
      <c r="L115" s="3">
        <f t="shared" si="6"/>
        <v>1.9570251083901091</v>
      </c>
      <c r="M115" s="3">
        <f t="shared" si="7"/>
        <v>41.076000000000001</v>
      </c>
    </row>
    <row r="116" spans="1:13" x14ac:dyDescent="0.25">
      <c r="A116" s="2">
        <v>45575</v>
      </c>
      <c r="B116" t="s">
        <v>19</v>
      </c>
      <c r="C116" t="s">
        <v>10</v>
      </c>
      <c r="D116" t="s">
        <v>26</v>
      </c>
      <c r="E116">
        <v>25833</v>
      </c>
      <c r="F116">
        <v>409</v>
      </c>
      <c r="G116">
        <v>584.65</v>
      </c>
      <c r="H116">
        <v>46</v>
      </c>
      <c r="I116">
        <v>1499.07</v>
      </c>
      <c r="J116" s="3">
        <f t="shared" si="4"/>
        <v>11.246943765281173</v>
      </c>
      <c r="K116" s="3">
        <f t="shared" si="5"/>
        <v>12.709782608695651</v>
      </c>
      <c r="L116" s="3">
        <f t="shared" si="6"/>
        <v>2.5640468656461128</v>
      </c>
      <c r="M116" s="3">
        <f t="shared" si="7"/>
        <v>32.588478260869564</v>
      </c>
    </row>
    <row r="117" spans="1:13" x14ac:dyDescent="0.25">
      <c r="A117" s="2">
        <v>45575</v>
      </c>
      <c r="B117" t="s">
        <v>19</v>
      </c>
      <c r="C117" t="s">
        <v>12</v>
      </c>
      <c r="D117" t="s">
        <v>22</v>
      </c>
      <c r="E117">
        <v>54348</v>
      </c>
      <c r="F117">
        <v>1044</v>
      </c>
      <c r="G117">
        <v>4911.78</v>
      </c>
      <c r="H117">
        <v>208</v>
      </c>
      <c r="I117">
        <v>13281.76</v>
      </c>
      <c r="J117" s="3">
        <f t="shared" si="4"/>
        <v>19.923371647509576</v>
      </c>
      <c r="K117" s="3">
        <f t="shared" si="5"/>
        <v>23.614326923076923</v>
      </c>
      <c r="L117" s="3">
        <f t="shared" si="6"/>
        <v>2.7040624783683311</v>
      </c>
      <c r="M117" s="3">
        <f t="shared" si="7"/>
        <v>63.854615384615386</v>
      </c>
    </row>
    <row r="118" spans="1:13" x14ac:dyDescent="0.25">
      <c r="A118" s="2">
        <v>45575</v>
      </c>
      <c r="B118" t="s">
        <v>19</v>
      </c>
      <c r="C118" t="s">
        <v>14</v>
      </c>
      <c r="D118" t="s">
        <v>21</v>
      </c>
      <c r="E118">
        <v>6636</v>
      </c>
      <c r="F118">
        <v>225</v>
      </c>
      <c r="G118">
        <v>322.41000000000003</v>
      </c>
      <c r="H118">
        <v>2</v>
      </c>
      <c r="I118">
        <v>1502.54</v>
      </c>
      <c r="J118" s="3">
        <f t="shared" si="4"/>
        <v>0.88888888888888884</v>
      </c>
      <c r="K118" s="3">
        <f t="shared" si="5"/>
        <v>161.20500000000001</v>
      </c>
      <c r="L118" s="3">
        <f t="shared" si="6"/>
        <v>4.6603393195000153</v>
      </c>
      <c r="M118" s="3">
        <f t="shared" si="7"/>
        <v>751.27</v>
      </c>
    </row>
    <row r="119" spans="1:13" x14ac:dyDescent="0.25">
      <c r="A119" s="2">
        <v>45575</v>
      </c>
      <c r="B119" t="s">
        <v>23</v>
      </c>
      <c r="C119" t="s">
        <v>10</v>
      </c>
      <c r="D119" t="s">
        <v>29</v>
      </c>
      <c r="E119">
        <v>19378</v>
      </c>
      <c r="F119">
        <v>535</v>
      </c>
      <c r="G119">
        <v>1028.48</v>
      </c>
      <c r="H119">
        <v>32</v>
      </c>
      <c r="I119">
        <v>2090.09</v>
      </c>
      <c r="J119" s="3">
        <f t="shared" si="4"/>
        <v>5.9813084112149539</v>
      </c>
      <c r="K119" s="3">
        <f t="shared" si="5"/>
        <v>32.14</v>
      </c>
      <c r="L119" s="3">
        <f t="shared" si="6"/>
        <v>2.0322125855631614</v>
      </c>
      <c r="M119" s="3">
        <f t="shared" si="7"/>
        <v>65.315312500000005</v>
      </c>
    </row>
    <row r="120" spans="1:13" x14ac:dyDescent="0.25">
      <c r="A120" s="2">
        <v>45575</v>
      </c>
      <c r="B120" t="s">
        <v>23</v>
      </c>
      <c r="C120" t="s">
        <v>12</v>
      </c>
      <c r="D120" t="s">
        <v>25</v>
      </c>
      <c r="E120">
        <v>51425</v>
      </c>
      <c r="F120">
        <v>2388</v>
      </c>
      <c r="G120">
        <v>4022.31</v>
      </c>
      <c r="H120">
        <v>236</v>
      </c>
      <c r="I120">
        <v>14902.22</v>
      </c>
      <c r="J120" s="3">
        <f t="shared" si="4"/>
        <v>9.8827470686767178</v>
      </c>
      <c r="K120" s="3">
        <f t="shared" si="5"/>
        <v>17.043686440677966</v>
      </c>
      <c r="L120" s="3">
        <f t="shared" si="6"/>
        <v>3.7048909706114146</v>
      </c>
      <c r="M120" s="3">
        <f t="shared" si="7"/>
        <v>63.144999999999996</v>
      </c>
    </row>
    <row r="121" spans="1:13" x14ac:dyDescent="0.25">
      <c r="A121" s="2">
        <v>45575</v>
      </c>
      <c r="B121" t="s">
        <v>23</v>
      </c>
      <c r="C121" t="s">
        <v>14</v>
      </c>
      <c r="D121" t="s">
        <v>25</v>
      </c>
      <c r="E121">
        <v>7146</v>
      </c>
      <c r="F121">
        <v>74</v>
      </c>
      <c r="G121">
        <v>366.19</v>
      </c>
      <c r="H121">
        <v>2</v>
      </c>
      <c r="I121">
        <v>869.31</v>
      </c>
      <c r="J121" s="3">
        <f t="shared" si="4"/>
        <v>2.7027027027027026</v>
      </c>
      <c r="K121" s="3">
        <f t="shared" si="5"/>
        <v>183.095</v>
      </c>
      <c r="L121" s="3">
        <f t="shared" si="6"/>
        <v>2.3739315655807092</v>
      </c>
      <c r="M121" s="3">
        <f t="shared" si="7"/>
        <v>434.65499999999997</v>
      </c>
    </row>
    <row r="122" spans="1:13" x14ac:dyDescent="0.25">
      <c r="A122" s="2">
        <v>45576</v>
      </c>
      <c r="B122" t="s">
        <v>9</v>
      </c>
      <c r="C122" t="s">
        <v>10</v>
      </c>
      <c r="D122" t="s">
        <v>11</v>
      </c>
      <c r="E122">
        <v>11093</v>
      </c>
      <c r="F122">
        <v>893</v>
      </c>
      <c r="G122">
        <v>737.83</v>
      </c>
      <c r="H122">
        <v>18</v>
      </c>
      <c r="I122">
        <v>1138.1099999999999</v>
      </c>
      <c r="J122" s="3">
        <f t="shared" si="4"/>
        <v>2.0156774916013438</v>
      </c>
      <c r="K122" s="3">
        <f t="shared" si="5"/>
        <v>40.990555555555559</v>
      </c>
      <c r="L122" s="3">
        <f t="shared" si="6"/>
        <v>1.542509792228562</v>
      </c>
      <c r="M122" s="3">
        <f t="shared" si="7"/>
        <v>63.228333333333325</v>
      </c>
    </row>
    <row r="123" spans="1:13" x14ac:dyDescent="0.25">
      <c r="A123" s="2">
        <v>45576</v>
      </c>
      <c r="B123" t="s">
        <v>9</v>
      </c>
      <c r="C123" t="s">
        <v>12</v>
      </c>
      <c r="D123" t="s">
        <v>16</v>
      </c>
      <c r="E123">
        <v>56411</v>
      </c>
      <c r="F123">
        <v>2530</v>
      </c>
      <c r="G123">
        <v>2662.01</v>
      </c>
      <c r="H123">
        <v>91</v>
      </c>
      <c r="I123">
        <v>4531.29</v>
      </c>
      <c r="J123" s="3">
        <f t="shared" si="4"/>
        <v>3.5968379446640317</v>
      </c>
      <c r="K123" s="3">
        <f t="shared" si="5"/>
        <v>29.252857142857145</v>
      </c>
      <c r="L123" s="3">
        <f t="shared" si="6"/>
        <v>1.7022062276249901</v>
      </c>
      <c r="M123" s="3">
        <f t="shared" si="7"/>
        <v>49.794395604395604</v>
      </c>
    </row>
    <row r="124" spans="1:13" x14ac:dyDescent="0.25">
      <c r="A124" s="2">
        <v>45576</v>
      </c>
      <c r="B124" t="s">
        <v>9</v>
      </c>
      <c r="C124" t="s">
        <v>14</v>
      </c>
      <c r="D124" t="s">
        <v>16</v>
      </c>
      <c r="E124">
        <v>6348</v>
      </c>
      <c r="F124">
        <v>178</v>
      </c>
      <c r="G124">
        <v>369.72</v>
      </c>
      <c r="H124">
        <v>6</v>
      </c>
      <c r="I124">
        <v>804.69</v>
      </c>
      <c r="J124" s="3">
        <f t="shared" si="4"/>
        <v>3.3707865168539324</v>
      </c>
      <c r="K124" s="3">
        <f t="shared" si="5"/>
        <v>61.620000000000005</v>
      </c>
      <c r="L124" s="3">
        <f t="shared" si="6"/>
        <v>2.1764849074975658</v>
      </c>
      <c r="M124" s="3">
        <f t="shared" si="7"/>
        <v>134.11500000000001</v>
      </c>
    </row>
    <row r="125" spans="1:13" x14ac:dyDescent="0.25">
      <c r="A125" s="2">
        <v>45576</v>
      </c>
      <c r="B125" t="s">
        <v>15</v>
      </c>
      <c r="C125" t="s">
        <v>10</v>
      </c>
      <c r="D125" t="s">
        <v>17</v>
      </c>
      <c r="E125">
        <v>19671</v>
      </c>
      <c r="F125">
        <v>646</v>
      </c>
      <c r="G125">
        <v>1265.08</v>
      </c>
      <c r="H125">
        <v>39</v>
      </c>
      <c r="I125">
        <v>6147.02</v>
      </c>
      <c r="J125" s="3">
        <f t="shared" si="4"/>
        <v>6.0371517027863781</v>
      </c>
      <c r="K125" s="3">
        <f t="shared" si="5"/>
        <v>32.437948717948714</v>
      </c>
      <c r="L125" s="3">
        <f t="shared" si="6"/>
        <v>4.8589970594745004</v>
      </c>
      <c r="M125" s="3">
        <f t="shared" si="7"/>
        <v>157.61589743589744</v>
      </c>
    </row>
    <row r="126" spans="1:13" x14ac:dyDescent="0.25">
      <c r="A126" s="2">
        <v>45576</v>
      </c>
      <c r="B126" t="s">
        <v>15</v>
      </c>
      <c r="C126" t="s">
        <v>12</v>
      </c>
      <c r="D126" t="s">
        <v>16</v>
      </c>
      <c r="E126">
        <v>49785</v>
      </c>
      <c r="F126">
        <v>2761</v>
      </c>
      <c r="G126">
        <v>3705.29</v>
      </c>
      <c r="H126">
        <v>212</v>
      </c>
      <c r="I126">
        <v>18244.03</v>
      </c>
      <c r="J126" s="3">
        <f t="shared" si="4"/>
        <v>7.6783773994929376</v>
      </c>
      <c r="K126" s="3">
        <f t="shared" si="5"/>
        <v>17.477783018867925</v>
      </c>
      <c r="L126" s="3">
        <f t="shared" si="6"/>
        <v>4.9237792453492171</v>
      </c>
      <c r="M126" s="3">
        <f t="shared" si="7"/>
        <v>86.056745283018856</v>
      </c>
    </row>
    <row r="127" spans="1:13" x14ac:dyDescent="0.25">
      <c r="A127" s="2">
        <v>45576</v>
      </c>
      <c r="B127" t="s">
        <v>15</v>
      </c>
      <c r="C127" t="s">
        <v>14</v>
      </c>
      <c r="D127" t="s">
        <v>27</v>
      </c>
      <c r="E127">
        <v>2739</v>
      </c>
      <c r="F127">
        <v>151</v>
      </c>
      <c r="G127">
        <v>54.87</v>
      </c>
      <c r="H127">
        <v>18</v>
      </c>
      <c r="I127">
        <v>91.61</v>
      </c>
      <c r="J127" s="3">
        <f t="shared" si="4"/>
        <v>11.920529801324504</v>
      </c>
      <c r="K127" s="3">
        <f t="shared" si="5"/>
        <v>3.0483333333333333</v>
      </c>
      <c r="L127" s="3">
        <f t="shared" si="6"/>
        <v>1.6695826498997632</v>
      </c>
      <c r="M127" s="3">
        <f t="shared" si="7"/>
        <v>5.0894444444444442</v>
      </c>
    </row>
    <row r="128" spans="1:13" x14ac:dyDescent="0.25">
      <c r="A128" s="2">
        <v>45576</v>
      </c>
      <c r="B128" t="s">
        <v>19</v>
      </c>
      <c r="C128" t="s">
        <v>10</v>
      </c>
      <c r="D128" t="s">
        <v>22</v>
      </c>
      <c r="E128">
        <v>18590</v>
      </c>
      <c r="F128">
        <v>898</v>
      </c>
      <c r="G128">
        <v>757.23</v>
      </c>
      <c r="H128">
        <v>50</v>
      </c>
      <c r="I128">
        <v>3614.34</v>
      </c>
      <c r="J128" s="3">
        <f t="shared" si="4"/>
        <v>5.56792873051225</v>
      </c>
      <c r="K128" s="3">
        <f t="shared" si="5"/>
        <v>15.144600000000001</v>
      </c>
      <c r="L128" s="3">
        <f t="shared" si="6"/>
        <v>4.7731072461471413</v>
      </c>
      <c r="M128" s="3">
        <f t="shared" si="7"/>
        <v>72.286799999999999</v>
      </c>
    </row>
    <row r="129" spans="1:13" x14ac:dyDescent="0.25">
      <c r="A129" s="2">
        <v>45576</v>
      </c>
      <c r="B129" t="s">
        <v>19</v>
      </c>
      <c r="C129" t="s">
        <v>12</v>
      </c>
      <c r="D129" t="s">
        <v>21</v>
      </c>
      <c r="E129">
        <v>50323</v>
      </c>
      <c r="F129">
        <v>1965</v>
      </c>
      <c r="G129">
        <v>1100.0999999999999</v>
      </c>
      <c r="H129">
        <v>183</v>
      </c>
      <c r="I129">
        <v>2691.31</v>
      </c>
      <c r="J129" s="3">
        <f t="shared" si="4"/>
        <v>9.3129770992366403</v>
      </c>
      <c r="K129" s="3">
        <f t="shared" si="5"/>
        <v>6.0114754098360654</v>
      </c>
      <c r="L129" s="3">
        <f t="shared" si="6"/>
        <v>2.4464230524497776</v>
      </c>
      <c r="M129" s="3">
        <f t="shared" si="7"/>
        <v>14.706612021857923</v>
      </c>
    </row>
    <row r="130" spans="1:13" x14ac:dyDescent="0.25">
      <c r="A130" s="2">
        <v>45576</v>
      </c>
      <c r="B130" t="s">
        <v>19</v>
      </c>
      <c r="C130" t="s">
        <v>14</v>
      </c>
      <c r="D130" t="s">
        <v>20</v>
      </c>
      <c r="E130">
        <v>7305</v>
      </c>
      <c r="F130">
        <v>66</v>
      </c>
      <c r="G130">
        <v>272.39</v>
      </c>
      <c r="H130">
        <v>15</v>
      </c>
      <c r="I130">
        <v>1268.1600000000001</v>
      </c>
      <c r="J130" s="3">
        <f t="shared" si="4"/>
        <v>22.727272727272727</v>
      </c>
      <c r="K130" s="3">
        <f t="shared" si="5"/>
        <v>18.159333333333333</v>
      </c>
      <c r="L130" s="3">
        <f t="shared" si="6"/>
        <v>4.6556775212012198</v>
      </c>
      <c r="M130" s="3">
        <f t="shared" si="7"/>
        <v>84.544000000000011</v>
      </c>
    </row>
    <row r="131" spans="1:13" x14ac:dyDescent="0.25">
      <c r="A131" s="2">
        <v>45576</v>
      </c>
      <c r="B131" t="s">
        <v>23</v>
      </c>
      <c r="C131" t="s">
        <v>10</v>
      </c>
      <c r="D131" t="s">
        <v>24</v>
      </c>
      <c r="E131">
        <v>23379</v>
      </c>
      <c r="F131">
        <v>419</v>
      </c>
      <c r="G131">
        <v>467.73</v>
      </c>
      <c r="H131">
        <v>12</v>
      </c>
      <c r="I131">
        <v>1102.25</v>
      </c>
      <c r="J131" s="3">
        <f t="shared" ref="J131:J194" si="8">(H131/F131) * 100</f>
        <v>2.8639618138424821</v>
      </c>
      <c r="K131" s="3">
        <f t="shared" ref="K131:K194" si="9" xml:space="preserve"> G131/H131</f>
        <v>38.977499999999999</v>
      </c>
      <c r="L131" s="3">
        <f t="shared" ref="L131:L194" si="10">I131/G131</f>
        <v>2.3565946165522842</v>
      </c>
      <c r="M131" s="3">
        <f t="shared" ref="M131:M194" si="11">I131/H131</f>
        <v>91.854166666666671</v>
      </c>
    </row>
    <row r="132" spans="1:13" x14ac:dyDescent="0.25">
      <c r="A132" s="2">
        <v>45576</v>
      </c>
      <c r="B132" t="s">
        <v>23</v>
      </c>
      <c r="C132" t="s">
        <v>12</v>
      </c>
      <c r="D132" t="s">
        <v>29</v>
      </c>
      <c r="E132">
        <v>42610</v>
      </c>
      <c r="F132">
        <v>1199</v>
      </c>
      <c r="G132">
        <v>1939.2</v>
      </c>
      <c r="H132">
        <v>177</v>
      </c>
      <c r="I132">
        <v>3326.74</v>
      </c>
      <c r="J132" s="3">
        <f t="shared" si="8"/>
        <v>14.762301918265223</v>
      </c>
      <c r="K132" s="3">
        <f t="shared" si="9"/>
        <v>10.95593220338983</v>
      </c>
      <c r="L132" s="3">
        <f t="shared" si="10"/>
        <v>1.7155218646864685</v>
      </c>
      <c r="M132" s="3">
        <f t="shared" si="11"/>
        <v>18.795141242937852</v>
      </c>
    </row>
    <row r="133" spans="1:13" x14ac:dyDescent="0.25">
      <c r="A133" s="2">
        <v>45576</v>
      </c>
      <c r="B133" t="s">
        <v>23</v>
      </c>
      <c r="C133" t="s">
        <v>14</v>
      </c>
      <c r="D133" t="s">
        <v>29</v>
      </c>
      <c r="E133">
        <v>5039</v>
      </c>
      <c r="F133">
        <v>221</v>
      </c>
      <c r="G133">
        <v>382.28</v>
      </c>
      <c r="H133">
        <v>18</v>
      </c>
      <c r="I133">
        <v>1067.5899999999999</v>
      </c>
      <c r="J133" s="3">
        <f t="shared" si="8"/>
        <v>8.1447963800904972</v>
      </c>
      <c r="K133" s="3">
        <f t="shared" si="9"/>
        <v>21.237777777777776</v>
      </c>
      <c r="L133" s="3">
        <f t="shared" si="10"/>
        <v>2.7926912210944859</v>
      </c>
      <c r="M133" s="3">
        <f t="shared" si="11"/>
        <v>59.310555555555553</v>
      </c>
    </row>
    <row r="134" spans="1:13" x14ac:dyDescent="0.25">
      <c r="A134" s="2">
        <v>45577</v>
      </c>
      <c r="B134" t="s">
        <v>9</v>
      </c>
      <c r="C134" t="s">
        <v>10</v>
      </c>
      <c r="D134" t="s">
        <v>26</v>
      </c>
      <c r="E134">
        <v>23594</v>
      </c>
      <c r="F134">
        <v>401</v>
      </c>
      <c r="G134">
        <v>1300.43</v>
      </c>
      <c r="H134">
        <v>49</v>
      </c>
      <c r="I134">
        <v>3577.28</v>
      </c>
      <c r="J134" s="3">
        <f t="shared" si="8"/>
        <v>12.219451371571072</v>
      </c>
      <c r="K134" s="3">
        <f t="shared" si="9"/>
        <v>26.539387755102041</v>
      </c>
      <c r="L134" s="3">
        <f t="shared" si="10"/>
        <v>2.7508439516160039</v>
      </c>
      <c r="M134" s="3">
        <f t="shared" si="11"/>
        <v>73.005714285714291</v>
      </c>
    </row>
    <row r="135" spans="1:13" x14ac:dyDescent="0.25">
      <c r="A135" s="2">
        <v>45577</v>
      </c>
      <c r="B135" t="s">
        <v>9</v>
      </c>
      <c r="C135" t="s">
        <v>12</v>
      </c>
      <c r="D135" t="s">
        <v>16</v>
      </c>
      <c r="E135">
        <v>37144</v>
      </c>
      <c r="F135">
        <v>2413</v>
      </c>
      <c r="G135">
        <v>2482.12</v>
      </c>
      <c r="H135">
        <v>153</v>
      </c>
      <c r="I135">
        <v>7172.94</v>
      </c>
      <c r="J135" s="3">
        <f t="shared" si="8"/>
        <v>6.3406547865727321</v>
      </c>
      <c r="K135" s="3">
        <f t="shared" si="9"/>
        <v>16.223006535947711</v>
      </c>
      <c r="L135" s="3">
        <f t="shared" si="10"/>
        <v>2.8898441654714517</v>
      </c>
      <c r="M135" s="3">
        <f t="shared" si="11"/>
        <v>46.881960784313726</v>
      </c>
    </row>
    <row r="136" spans="1:13" x14ac:dyDescent="0.25">
      <c r="A136" s="2">
        <v>45577</v>
      </c>
      <c r="B136" t="s">
        <v>9</v>
      </c>
      <c r="C136" t="s">
        <v>14</v>
      </c>
      <c r="D136" t="s">
        <v>26</v>
      </c>
      <c r="E136">
        <v>4971</v>
      </c>
      <c r="F136">
        <v>75</v>
      </c>
      <c r="G136">
        <v>393.32</v>
      </c>
      <c r="H136">
        <v>12</v>
      </c>
      <c r="I136">
        <v>1285.75</v>
      </c>
      <c r="J136" s="3">
        <f t="shared" si="8"/>
        <v>16</v>
      </c>
      <c r="K136" s="3">
        <f t="shared" si="9"/>
        <v>32.776666666666664</v>
      </c>
      <c r="L136" s="3">
        <f t="shared" si="10"/>
        <v>3.2689667446354114</v>
      </c>
      <c r="M136" s="3">
        <f t="shared" si="11"/>
        <v>107.14583333333333</v>
      </c>
    </row>
    <row r="137" spans="1:13" x14ac:dyDescent="0.25">
      <c r="A137" s="2">
        <v>45577</v>
      </c>
      <c r="B137" t="s">
        <v>15</v>
      </c>
      <c r="C137" t="s">
        <v>10</v>
      </c>
      <c r="D137" t="s">
        <v>27</v>
      </c>
      <c r="E137">
        <v>11984</v>
      </c>
      <c r="F137">
        <v>707</v>
      </c>
      <c r="G137">
        <v>631.05999999999995</v>
      </c>
      <c r="H137">
        <v>17</v>
      </c>
      <c r="I137">
        <v>3033.03</v>
      </c>
      <c r="J137" s="3">
        <f t="shared" si="8"/>
        <v>2.4045261669024045</v>
      </c>
      <c r="K137" s="3">
        <f t="shared" si="9"/>
        <v>37.121176470588232</v>
      </c>
      <c r="L137" s="3">
        <f t="shared" si="10"/>
        <v>4.8062466326498283</v>
      </c>
      <c r="M137" s="3">
        <f t="shared" si="11"/>
        <v>178.41352941176473</v>
      </c>
    </row>
    <row r="138" spans="1:13" x14ac:dyDescent="0.25">
      <c r="A138" s="2">
        <v>45577</v>
      </c>
      <c r="B138" t="s">
        <v>15</v>
      </c>
      <c r="C138" t="s">
        <v>12</v>
      </c>
      <c r="D138" t="s">
        <v>17</v>
      </c>
      <c r="E138">
        <v>41007</v>
      </c>
      <c r="F138">
        <v>2357</v>
      </c>
      <c r="G138">
        <v>1848.42</v>
      </c>
      <c r="H138">
        <v>203</v>
      </c>
      <c r="I138">
        <v>6412.45</v>
      </c>
      <c r="J138" s="3">
        <f t="shared" si="8"/>
        <v>8.612643190496394</v>
      </c>
      <c r="K138" s="3">
        <f t="shared" si="9"/>
        <v>9.1055172413793102</v>
      </c>
      <c r="L138" s="3">
        <f t="shared" si="10"/>
        <v>3.4691520325467153</v>
      </c>
      <c r="M138" s="3">
        <f t="shared" si="11"/>
        <v>31.588423645320198</v>
      </c>
    </row>
    <row r="139" spans="1:13" x14ac:dyDescent="0.25">
      <c r="A139" s="2">
        <v>45577</v>
      </c>
      <c r="B139" t="s">
        <v>15</v>
      </c>
      <c r="C139" t="s">
        <v>14</v>
      </c>
      <c r="D139" t="s">
        <v>18</v>
      </c>
      <c r="E139">
        <v>2414</v>
      </c>
      <c r="F139">
        <v>135</v>
      </c>
      <c r="G139">
        <v>135.25</v>
      </c>
      <c r="H139">
        <v>5</v>
      </c>
      <c r="I139">
        <v>566.77</v>
      </c>
      <c r="J139" s="3">
        <f t="shared" si="8"/>
        <v>3.7037037037037033</v>
      </c>
      <c r="K139" s="3">
        <f t="shared" si="9"/>
        <v>27.05</v>
      </c>
      <c r="L139" s="3">
        <f t="shared" si="10"/>
        <v>4.1905360443622923</v>
      </c>
      <c r="M139" s="3">
        <f t="shared" si="11"/>
        <v>113.354</v>
      </c>
    </row>
    <row r="140" spans="1:13" x14ac:dyDescent="0.25">
      <c r="A140" s="2">
        <v>45577</v>
      </c>
      <c r="B140" t="s">
        <v>19</v>
      </c>
      <c r="C140" t="s">
        <v>10</v>
      </c>
      <c r="D140" t="s">
        <v>20</v>
      </c>
      <c r="E140">
        <v>12248</v>
      </c>
      <c r="F140">
        <v>867</v>
      </c>
      <c r="G140">
        <v>548.59</v>
      </c>
      <c r="H140">
        <v>23</v>
      </c>
      <c r="I140">
        <v>2353.23</v>
      </c>
      <c r="J140" s="3">
        <f t="shared" si="8"/>
        <v>2.6528258362168398</v>
      </c>
      <c r="K140" s="3">
        <f t="shared" si="9"/>
        <v>23.851739130434783</v>
      </c>
      <c r="L140" s="3">
        <f t="shared" si="10"/>
        <v>4.2895969667693539</v>
      </c>
      <c r="M140" s="3">
        <f t="shared" si="11"/>
        <v>102.31434782608696</v>
      </c>
    </row>
    <row r="141" spans="1:13" x14ac:dyDescent="0.25">
      <c r="A141" s="2">
        <v>45577</v>
      </c>
      <c r="B141" t="s">
        <v>19</v>
      </c>
      <c r="C141" t="s">
        <v>12</v>
      </c>
      <c r="D141" t="s">
        <v>20</v>
      </c>
      <c r="E141">
        <v>56532</v>
      </c>
      <c r="F141">
        <v>2585</v>
      </c>
      <c r="G141">
        <v>1590.22</v>
      </c>
      <c r="H141">
        <v>192</v>
      </c>
      <c r="I141">
        <v>1925.4</v>
      </c>
      <c r="J141" s="3">
        <f t="shared" si="8"/>
        <v>7.4274661508704058</v>
      </c>
      <c r="K141" s="3">
        <f t="shared" si="9"/>
        <v>8.2823958333333341</v>
      </c>
      <c r="L141" s="3">
        <f t="shared" si="10"/>
        <v>1.2107758674900329</v>
      </c>
      <c r="M141" s="3">
        <f t="shared" si="11"/>
        <v>10.028125000000001</v>
      </c>
    </row>
    <row r="142" spans="1:13" x14ac:dyDescent="0.25">
      <c r="A142" s="2">
        <v>45577</v>
      </c>
      <c r="B142" t="s">
        <v>19</v>
      </c>
      <c r="C142" t="s">
        <v>14</v>
      </c>
      <c r="D142" t="s">
        <v>20</v>
      </c>
      <c r="E142">
        <v>3064</v>
      </c>
      <c r="F142">
        <v>188</v>
      </c>
      <c r="G142">
        <v>137.72999999999999</v>
      </c>
      <c r="H142">
        <v>6</v>
      </c>
      <c r="I142">
        <v>222.81</v>
      </c>
      <c r="J142" s="3">
        <f t="shared" si="8"/>
        <v>3.1914893617021276</v>
      </c>
      <c r="K142" s="3">
        <f t="shared" si="9"/>
        <v>22.954999999999998</v>
      </c>
      <c r="L142" s="3">
        <f t="shared" si="10"/>
        <v>1.6177303419734264</v>
      </c>
      <c r="M142" s="3">
        <f t="shared" si="11"/>
        <v>37.134999999999998</v>
      </c>
    </row>
    <row r="143" spans="1:13" x14ac:dyDescent="0.25">
      <c r="A143" s="2">
        <v>45577</v>
      </c>
      <c r="B143" t="s">
        <v>23</v>
      </c>
      <c r="C143" t="s">
        <v>10</v>
      </c>
      <c r="D143" t="s">
        <v>28</v>
      </c>
      <c r="E143">
        <v>14318</v>
      </c>
      <c r="F143">
        <v>315</v>
      </c>
      <c r="G143">
        <v>729.89</v>
      </c>
      <c r="H143">
        <v>60</v>
      </c>
      <c r="I143">
        <v>1535.79</v>
      </c>
      <c r="J143" s="3">
        <f t="shared" si="8"/>
        <v>19.047619047619047</v>
      </c>
      <c r="K143" s="3">
        <f t="shared" si="9"/>
        <v>12.164833333333332</v>
      </c>
      <c r="L143" s="3">
        <f t="shared" si="10"/>
        <v>2.1041389798462782</v>
      </c>
      <c r="M143" s="3">
        <f t="shared" si="11"/>
        <v>25.596499999999999</v>
      </c>
    </row>
    <row r="144" spans="1:13" x14ac:dyDescent="0.25">
      <c r="A144" s="2">
        <v>45577</v>
      </c>
      <c r="B144" t="s">
        <v>23</v>
      </c>
      <c r="C144" t="s">
        <v>12</v>
      </c>
      <c r="D144" t="s">
        <v>24</v>
      </c>
      <c r="E144">
        <v>36034</v>
      </c>
      <c r="F144">
        <v>1356</v>
      </c>
      <c r="G144">
        <v>2061.4699999999998</v>
      </c>
      <c r="H144">
        <v>72</v>
      </c>
      <c r="I144">
        <v>8284.08</v>
      </c>
      <c r="J144" s="3">
        <f t="shared" si="8"/>
        <v>5.3097345132743365</v>
      </c>
      <c r="K144" s="3">
        <f t="shared" si="9"/>
        <v>28.631527777777777</v>
      </c>
      <c r="L144" s="3">
        <f t="shared" si="10"/>
        <v>4.0185304661236891</v>
      </c>
      <c r="M144" s="3">
        <f t="shared" si="11"/>
        <v>115.05666666666667</v>
      </c>
    </row>
    <row r="145" spans="1:13" x14ac:dyDescent="0.25">
      <c r="A145" s="2">
        <v>45577</v>
      </c>
      <c r="B145" t="s">
        <v>23</v>
      </c>
      <c r="C145" t="s">
        <v>14</v>
      </c>
      <c r="D145" t="s">
        <v>28</v>
      </c>
      <c r="E145">
        <v>2520</v>
      </c>
      <c r="F145">
        <v>171</v>
      </c>
      <c r="G145">
        <v>206.9</v>
      </c>
      <c r="H145">
        <v>12</v>
      </c>
      <c r="I145">
        <v>651.79999999999995</v>
      </c>
      <c r="J145" s="3">
        <f t="shared" si="8"/>
        <v>7.0175438596491224</v>
      </c>
      <c r="K145" s="3">
        <f t="shared" si="9"/>
        <v>17.241666666666667</v>
      </c>
      <c r="L145" s="3">
        <f t="shared" si="10"/>
        <v>3.1503141614306425</v>
      </c>
      <c r="M145" s="3">
        <f t="shared" si="11"/>
        <v>54.316666666666663</v>
      </c>
    </row>
    <row r="146" spans="1:13" x14ac:dyDescent="0.25">
      <c r="A146" s="2">
        <v>45578</v>
      </c>
      <c r="B146" t="s">
        <v>9</v>
      </c>
      <c r="C146" t="s">
        <v>10</v>
      </c>
      <c r="D146" t="s">
        <v>13</v>
      </c>
      <c r="E146">
        <v>24811</v>
      </c>
      <c r="F146">
        <v>815</v>
      </c>
      <c r="G146">
        <v>565.86</v>
      </c>
      <c r="H146">
        <v>49</v>
      </c>
      <c r="I146">
        <v>772.28</v>
      </c>
      <c r="J146" s="3">
        <f t="shared" si="8"/>
        <v>6.0122699386503067</v>
      </c>
      <c r="K146" s="3">
        <f t="shared" si="9"/>
        <v>11.548163265306123</v>
      </c>
      <c r="L146" s="3">
        <f t="shared" si="10"/>
        <v>1.3647898773548226</v>
      </c>
      <c r="M146" s="3">
        <f t="shared" si="11"/>
        <v>15.760816326530612</v>
      </c>
    </row>
    <row r="147" spans="1:13" x14ac:dyDescent="0.25">
      <c r="A147" s="2">
        <v>45578</v>
      </c>
      <c r="B147" t="s">
        <v>9</v>
      </c>
      <c r="C147" t="s">
        <v>12</v>
      </c>
      <c r="D147" t="s">
        <v>16</v>
      </c>
      <c r="E147">
        <v>65018</v>
      </c>
      <c r="F147">
        <v>2317</v>
      </c>
      <c r="G147">
        <v>4856.1000000000004</v>
      </c>
      <c r="H147">
        <v>55</v>
      </c>
      <c r="I147">
        <v>24254.42</v>
      </c>
      <c r="J147" s="3">
        <f t="shared" si="8"/>
        <v>2.373759171342253</v>
      </c>
      <c r="K147" s="3">
        <f t="shared" si="9"/>
        <v>88.292727272727276</v>
      </c>
      <c r="L147" s="3">
        <f t="shared" si="10"/>
        <v>4.9946294351434268</v>
      </c>
      <c r="M147" s="3">
        <f t="shared" si="11"/>
        <v>440.98945454545452</v>
      </c>
    </row>
    <row r="148" spans="1:13" x14ac:dyDescent="0.25">
      <c r="A148" s="2">
        <v>45578</v>
      </c>
      <c r="B148" t="s">
        <v>9</v>
      </c>
      <c r="C148" t="s">
        <v>14</v>
      </c>
      <c r="D148" t="s">
        <v>11</v>
      </c>
      <c r="E148">
        <v>5492</v>
      </c>
      <c r="F148">
        <v>225</v>
      </c>
      <c r="G148">
        <v>87.79</v>
      </c>
      <c r="H148">
        <v>15</v>
      </c>
      <c r="I148">
        <v>129.86000000000001</v>
      </c>
      <c r="J148" s="3">
        <f t="shared" si="8"/>
        <v>6.666666666666667</v>
      </c>
      <c r="K148" s="3">
        <f t="shared" si="9"/>
        <v>5.8526666666666669</v>
      </c>
      <c r="L148" s="3">
        <f t="shared" si="10"/>
        <v>1.479211755325208</v>
      </c>
      <c r="M148" s="3">
        <f t="shared" si="11"/>
        <v>8.6573333333333338</v>
      </c>
    </row>
    <row r="149" spans="1:13" x14ac:dyDescent="0.25">
      <c r="A149" s="2">
        <v>45578</v>
      </c>
      <c r="B149" t="s">
        <v>15</v>
      </c>
      <c r="C149" t="s">
        <v>10</v>
      </c>
      <c r="D149" t="s">
        <v>18</v>
      </c>
      <c r="E149">
        <v>20554</v>
      </c>
      <c r="F149">
        <v>451</v>
      </c>
      <c r="G149">
        <v>378.82</v>
      </c>
      <c r="H149">
        <v>27</v>
      </c>
      <c r="I149">
        <v>1353.3</v>
      </c>
      <c r="J149" s="3">
        <f t="shared" si="8"/>
        <v>5.9866962305986693</v>
      </c>
      <c r="K149" s="3">
        <f t="shared" si="9"/>
        <v>14.03037037037037</v>
      </c>
      <c r="L149" s="3">
        <f t="shared" si="10"/>
        <v>3.5724090597117364</v>
      </c>
      <c r="M149" s="3">
        <f t="shared" si="11"/>
        <v>50.12222222222222</v>
      </c>
    </row>
    <row r="150" spans="1:13" x14ac:dyDescent="0.25">
      <c r="A150" s="2">
        <v>45578</v>
      </c>
      <c r="B150" t="s">
        <v>15</v>
      </c>
      <c r="C150" t="s">
        <v>12</v>
      </c>
      <c r="D150" t="s">
        <v>27</v>
      </c>
      <c r="E150">
        <v>59962</v>
      </c>
      <c r="F150">
        <v>2223</v>
      </c>
      <c r="G150">
        <v>3122.23</v>
      </c>
      <c r="H150">
        <v>156</v>
      </c>
      <c r="I150">
        <v>9744.77</v>
      </c>
      <c r="J150" s="3">
        <f t="shared" si="8"/>
        <v>7.0175438596491224</v>
      </c>
      <c r="K150" s="3">
        <f t="shared" si="9"/>
        <v>20.014294871794871</v>
      </c>
      <c r="L150" s="3">
        <f t="shared" si="10"/>
        <v>3.1210929367791613</v>
      </c>
      <c r="M150" s="3">
        <f t="shared" si="11"/>
        <v>62.466474358974359</v>
      </c>
    </row>
    <row r="151" spans="1:13" x14ac:dyDescent="0.25">
      <c r="A151" s="2">
        <v>45578</v>
      </c>
      <c r="B151" t="s">
        <v>15</v>
      </c>
      <c r="C151" t="s">
        <v>14</v>
      </c>
      <c r="D151" t="s">
        <v>17</v>
      </c>
      <c r="E151">
        <v>2812</v>
      </c>
      <c r="F151">
        <v>229</v>
      </c>
      <c r="G151">
        <v>90.04</v>
      </c>
      <c r="H151">
        <v>18</v>
      </c>
      <c r="I151">
        <v>354.68</v>
      </c>
      <c r="J151" s="3">
        <f t="shared" si="8"/>
        <v>7.860262008733625</v>
      </c>
      <c r="K151" s="3">
        <f t="shared" si="9"/>
        <v>5.0022222222222226</v>
      </c>
      <c r="L151" s="3">
        <f t="shared" si="10"/>
        <v>3.9391381608174143</v>
      </c>
      <c r="M151" s="3">
        <f t="shared" si="11"/>
        <v>19.704444444444444</v>
      </c>
    </row>
    <row r="152" spans="1:13" x14ac:dyDescent="0.25">
      <c r="A152" s="2">
        <v>45578</v>
      </c>
      <c r="B152" t="s">
        <v>19</v>
      </c>
      <c r="C152" t="s">
        <v>10</v>
      </c>
      <c r="D152" t="s">
        <v>20</v>
      </c>
      <c r="E152">
        <v>24092</v>
      </c>
      <c r="F152">
        <v>762</v>
      </c>
      <c r="G152">
        <v>1365.71</v>
      </c>
      <c r="H152">
        <v>36</v>
      </c>
      <c r="I152">
        <v>3397.8</v>
      </c>
      <c r="J152" s="3">
        <f t="shared" si="8"/>
        <v>4.7244094488188972</v>
      </c>
      <c r="K152" s="3">
        <f t="shared" si="9"/>
        <v>37.936388888888892</v>
      </c>
      <c r="L152" s="3">
        <f t="shared" si="10"/>
        <v>2.4879366776255574</v>
      </c>
      <c r="M152" s="3">
        <f t="shared" si="11"/>
        <v>94.38333333333334</v>
      </c>
    </row>
    <row r="153" spans="1:13" x14ac:dyDescent="0.25">
      <c r="A153" s="2">
        <v>45578</v>
      </c>
      <c r="B153" t="s">
        <v>19</v>
      </c>
      <c r="C153" t="s">
        <v>12</v>
      </c>
      <c r="D153" t="s">
        <v>26</v>
      </c>
      <c r="E153">
        <v>61131</v>
      </c>
      <c r="F153">
        <v>1851</v>
      </c>
      <c r="G153">
        <v>3918.45</v>
      </c>
      <c r="H153">
        <v>120</v>
      </c>
      <c r="I153">
        <v>11056.7</v>
      </c>
      <c r="J153" s="3">
        <f t="shared" si="8"/>
        <v>6.4829821717990272</v>
      </c>
      <c r="K153" s="3">
        <f t="shared" si="9"/>
        <v>32.653749999999995</v>
      </c>
      <c r="L153" s="3">
        <f t="shared" si="10"/>
        <v>2.8217024588804249</v>
      </c>
      <c r="M153" s="3">
        <f t="shared" si="11"/>
        <v>92.139166666666668</v>
      </c>
    </row>
    <row r="154" spans="1:13" x14ac:dyDescent="0.25">
      <c r="A154" s="2">
        <v>45578</v>
      </c>
      <c r="B154" t="s">
        <v>19</v>
      </c>
      <c r="C154" t="s">
        <v>14</v>
      </c>
      <c r="D154" t="s">
        <v>22</v>
      </c>
      <c r="E154">
        <v>5066</v>
      </c>
      <c r="F154">
        <v>89</v>
      </c>
      <c r="G154">
        <v>290.39</v>
      </c>
      <c r="H154">
        <v>16</v>
      </c>
      <c r="I154">
        <v>422.55</v>
      </c>
      <c r="J154" s="3">
        <f t="shared" si="8"/>
        <v>17.977528089887642</v>
      </c>
      <c r="K154" s="3">
        <f t="shared" si="9"/>
        <v>18.149374999999999</v>
      </c>
      <c r="L154" s="3">
        <f t="shared" si="10"/>
        <v>1.4551120906367301</v>
      </c>
      <c r="M154" s="3">
        <f t="shared" si="11"/>
        <v>26.409375000000001</v>
      </c>
    </row>
    <row r="155" spans="1:13" x14ac:dyDescent="0.25">
      <c r="A155" s="2">
        <v>45578</v>
      </c>
      <c r="B155" t="s">
        <v>23</v>
      </c>
      <c r="C155" t="s">
        <v>10</v>
      </c>
      <c r="D155" t="s">
        <v>28</v>
      </c>
      <c r="E155">
        <v>13054</v>
      </c>
      <c r="F155">
        <v>742</v>
      </c>
      <c r="G155">
        <v>415.88</v>
      </c>
      <c r="H155">
        <v>57</v>
      </c>
      <c r="I155">
        <v>1087.97</v>
      </c>
      <c r="J155" s="3">
        <f t="shared" si="8"/>
        <v>7.6819407008086262</v>
      </c>
      <c r="K155" s="3">
        <f t="shared" si="9"/>
        <v>7.2961403508771925</v>
      </c>
      <c r="L155" s="3">
        <f t="shared" si="10"/>
        <v>2.6160671347504088</v>
      </c>
      <c r="M155" s="3">
        <f t="shared" si="11"/>
        <v>19.087192982456141</v>
      </c>
    </row>
    <row r="156" spans="1:13" x14ac:dyDescent="0.25">
      <c r="A156" s="2">
        <v>45578</v>
      </c>
      <c r="B156" t="s">
        <v>23</v>
      </c>
      <c r="C156" t="s">
        <v>12</v>
      </c>
      <c r="D156" t="s">
        <v>25</v>
      </c>
      <c r="E156">
        <v>38930</v>
      </c>
      <c r="F156">
        <v>2201</v>
      </c>
      <c r="G156">
        <v>4826.5</v>
      </c>
      <c r="H156">
        <v>183</v>
      </c>
      <c r="I156">
        <v>11837.74</v>
      </c>
      <c r="J156" s="3">
        <f t="shared" si="8"/>
        <v>8.314402544298046</v>
      </c>
      <c r="K156" s="3">
        <f t="shared" si="9"/>
        <v>26.374316939890711</v>
      </c>
      <c r="L156" s="3">
        <f t="shared" si="10"/>
        <v>2.4526551331192374</v>
      </c>
      <c r="M156" s="3">
        <f t="shared" si="11"/>
        <v>64.687103825136617</v>
      </c>
    </row>
    <row r="157" spans="1:13" x14ac:dyDescent="0.25">
      <c r="A157" s="2">
        <v>45578</v>
      </c>
      <c r="B157" t="s">
        <v>23</v>
      </c>
      <c r="C157" t="s">
        <v>14</v>
      </c>
      <c r="D157" t="s">
        <v>28</v>
      </c>
      <c r="E157">
        <v>5365</v>
      </c>
      <c r="F157">
        <v>140</v>
      </c>
      <c r="G157">
        <v>355.76</v>
      </c>
      <c r="H157">
        <v>14</v>
      </c>
      <c r="I157">
        <v>1600.48</v>
      </c>
      <c r="J157" s="3">
        <f t="shared" si="8"/>
        <v>10</v>
      </c>
      <c r="K157" s="3">
        <f t="shared" si="9"/>
        <v>25.411428571428569</v>
      </c>
      <c r="L157" s="3">
        <f t="shared" si="10"/>
        <v>4.4987632111535865</v>
      </c>
      <c r="M157" s="3">
        <f t="shared" si="11"/>
        <v>114.32000000000001</v>
      </c>
    </row>
    <row r="158" spans="1:13" x14ac:dyDescent="0.25">
      <c r="A158" s="2">
        <v>45579</v>
      </c>
      <c r="B158" t="s">
        <v>9</v>
      </c>
      <c r="C158" t="s">
        <v>10</v>
      </c>
      <c r="D158" t="s">
        <v>13</v>
      </c>
      <c r="E158">
        <v>19425</v>
      </c>
      <c r="F158">
        <v>619</v>
      </c>
      <c r="G158">
        <v>721.98</v>
      </c>
      <c r="H158">
        <v>46</v>
      </c>
      <c r="I158">
        <v>2258.4699999999998</v>
      </c>
      <c r="J158" s="3">
        <f t="shared" si="8"/>
        <v>7.4313408723747978</v>
      </c>
      <c r="K158" s="3">
        <f t="shared" si="9"/>
        <v>15.695217391304348</v>
      </c>
      <c r="L158" s="3">
        <f t="shared" si="10"/>
        <v>3.1281614449153712</v>
      </c>
      <c r="M158" s="3">
        <f t="shared" si="11"/>
        <v>49.097173913043477</v>
      </c>
    </row>
    <row r="159" spans="1:13" x14ac:dyDescent="0.25">
      <c r="A159" s="2">
        <v>45579</v>
      </c>
      <c r="B159" t="s">
        <v>9</v>
      </c>
      <c r="C159" t="s">
        <v>12</v>
      </c>
      <c r="D159" t="s">
        <v>26</v>
      </c>
      <c r="E159">
        <v>66600</v>
      </c>
      <c r="F159">
        <v>1459</v>
      </c>
      <c r="G159">
        <v>4389.1000000000004</v>
      </c>
      <c r="H159">
        <v>129</v>
      </c>
      <c r="I159">
        <v>19366.55</v>
      </c>
      <c r="J159" s="3">
        <f t="shared" si="8"/>
        <v>8.8416723783413289</v>
      </c>
      <c r="K159" s="3">
        <f t="shared" si="9"/>
        <v>34.024031007751944</v>
      </c>
      <c r="L159" s="3">
        <f t="shared" si="10"/>
        <v>4.4124194026110128</v>
      </c>
      <c r="M159" s="3">
        <f t="shared" si="11"/>
        <v>150.12829457364342</v>
      </c>
    </row>
    <row r="160" spans="1:13" x14ac:dyDescent="0.25">
      <c r="A160" s="2">
        <v>45579</v>
      </c>
      <c r="B160" t="s">
        <v>9</v>
      </c>
      <c r="C160" t="s">
        <v>14</v>
      </c>
      <c r="D160" t="s">
        <v>16</v>
      </c>
      <c r="E160">
        <v>2941</v>
      </c>
      <c r="F160">
        <v>245</v>
      </c>
      <c r="G160">
        <v>147.5</v>
      </c>
      <c r="H160">
        <v>8</v>
      </c>
      <c r="I160">
        <v>629.45000000000005</v>
      </c>
      <c r="J160" s="3">
        <f t="shared" si="8"/>
        <v>3.2653061224489797</v>
      </c>
      <c r="K160" s="3">
        <f t="shared" si="9"/>
        <v>18.4375</v>
      </c>
      <c r="L160" s="3">
        <f t="shared" si="10"/>
        <v>4.2674576271186444</v>
      </c>
      <c r="M160" s="3">
        <f t="shared" si="11"/>
        <v>78.681250000000006</v>
      </c>
    </row>
    <row r="161" spans="1:13" x14ac:dyDescent="0.25">
      <c r="A161" s="2">
        <v>45579</v>
      </c>
      <c r="B161" t="s">
        <v>15</v>
      </c>
      <c r="C161" t="s">
        <v>10</v>
      </c>
      <c r="D161" t="s">
        <v>18</v>
      </c>
      <c r="E161">
        <v>29955</v>
      </c>
      <c r="F161">
        <v>573</v>
      </c>
      <c r="G161">
        <v>334.74</v>
      </c>
      <c r="H161">
        <v>27</v>
      </c>
      <c r="I161">
        <v>1295.53</v>
      </c>
      <c r="J161" s="3">
        <f t="shared" si="8"/>
        <v>4.7120418848167542</v>
      </c>
      <c r="K161" s="3">
        <f t="shared" si="9"/>
        <v>12.397777777777778</v>
      </c>
      <c r="L161" s="3">
        <f t="shared" si="10"/>
        <v>3.8702575132938994</v>
      </c>
      <c r="M161" s="3">
        <f t="shared" si="11"/>
        <v>47.982592592592589</v>
      </c>
    </row>
    <row r="162" spans="1:13" x14ac:dyDescent="0.25">
      <c r="A162" s="2">
        <v>45579</v>
      </c>
      <c r="B162" t="s">
        <v>15</v>
      </c>
      <c r="C162" t="s">
        <v>12</v>
      </c>
      <c r="D162" t="s">
        <v>27</v>
      </c>
      <c r="E162">
        <v>57270</v>
      </c>
      <c r="F162">
        <v>1718</v>
      </c>
      <c r="G162">
        <v>1024.42</v>
      </c>
      <c r="H162">
        <v>76</v>
      </c>
      <c r="I162">
        <v>3433.88</v>
      </c>
      <c r="J162" s="3">
        <f t="shared" si="8"/>
        <v>4.4237485448195581</v>
      </c>
      <c r="K162" s="3">
        <f t="shared" si="9"/>
        <v>13.479210526315791</v>
      </c>
      <c r="L162" s="3">
        <f t="shared" si="10"/>
        <v>3.3520235840768433</v>
      </c>
      <c r="M162" s="3">
        <f t="shared" si="11"/>
        <v>45.182631578947372</v>
      </c>
    </row>
    <row r="163" spans="1:13" x14ac:dyDescent="0.25">
      <c r="A163" s="2">
        <v>45579</v>
      </c>
      <c r="B163" t="s">
        <v>15</v>
      </c>
      <c r="C163" t="s">
        <v>14</v>
      </c>
      <c r="D163" t="s">
        <v>17</v>
      </c>
      <c r="E163">
        <v>2570</v>
      </c>
      <c r="F163">
        <v>86</v>
      </c>
      <c r="G163">
        <v>309.33999999999997</v>
      </c>
      <c r="H163">
        <v>1</v>
      </c>
      <c r="I163">
        <v>479.07</v>
      </c>
      <c r="J163" s="3">
        <f t="shared" si="8"/>
        <v>1.1627906976744187</v>
      </c>
      <c r="K163" s="3">
        <f t="shared" si="9"/>
        <v>309.33999999999997</v>
      </c>
      <c r="L163" s="3">
        <f t="shared" si="10"/>
        <v>1.5486842955970777</v>
      </c>
      <c r="M163" s="3">
        <f t="shared" si="11"/>
        <v>479.07</v>
      </c>
    </row>
    <row r="164" spans="1:13" x14ac:dyDescent="0.25">
      <c r="A164" s="2">
        <v>45579</v>
      </c>
      <c r="B164" t="s">
        <v>19</v>
      </c>
      <c r="C164" t="s">
        <v>10</v>
      </c>
      <c r="D164" t="s">
        <v>20</v>
      </c>
      <c r="E164">
        <v>22327</v>
      </c>
      <c r="F164">
        <v>729</v>
      </c>
      <c r="G164">
        <v>844.37</v>
      </c>
      <c r="H164">
        <v>20</v>
      </c>
      <c r="I164">
        <v>2200.6</v>
      </c>
      <c r="J164" s="3">
        <f t="shared" si="8"/>
        <v>2.7434842249657065</v>
      </c>
      <c r="K164" s="3">
        <f t="shared" si="9"/>
        <v>42.218499999999999</v>
      </c>
      <c r="L164" s="3">
        <f t="shared" si="10"/>
        <v>2.6062034416191953</v>
      </c>
      <c r="M164" s="3">
        <f t="shared" si="11"/>
        <v>110.03</v>
      </c>
    </row>
    <row r="165" spans="1:13" x14ac:dyDescent="0.25">
      <c r="A165" s="2">
        <v>45579</v>
      </c>
      <c r="B165" t="s">
        <v>19</v>
      </c>
      <c r="C165" t="s">
        <v>12</v>
      </c>
      <c r="D165" t="s">
        <v>22</v>
      </c>
      <c r="E165">
        <v>40567</v>
      </c>
      <c r="F165">
        <v>2809</v>
      </c>
      <c r="G165">
        <v>1210.44</v>
      </c>
      <c r="H165">
        <v>80</v>
      </c>
      <c r="I165">
        <v>4922.6899999999996</v>
      </c>
      <c r="J165" s="3">
        <f t="shared" si="8"/>
        <v>2.8479886080455681</v>
      </c>
      <c r="K165" s="3">
        <f t="shared" si="9"/>
        <v>15.130500000000001</v>
      </c>
      <c r="L165" s="3">
        <f t="shared" si="10"/>
        <v>4.0668599847989153</v>
      </c>
      <c r="M165" s="3">
        <f t="shared" si="11"/>
        <v>61.533624999999994</v>
      </c>
    </row>
    <row r="166" spans="1:13" x14ac:dyDescent="0.25">
      <c r="A166" s="2">
        <v>45579</v>
      </c>
      <c r="B166" t="s">
        <v>19</v>
      </c>
      <c r="C166" t="s">
        <v>14</v>
      </c>
      <c r="D166" t="s">
        <v>21</v>
      </c>
      <c r="E166">
        <v>7521</v>
      </c>
      <c r="F166">
        <v>70</v>
      </c>
      <c r="G166">
        <v>145.24</v>
      </c>
      <c r="H166">
        <v>14</v>
      </c>
      <c r="I166">
        <v>442.33</v>
      </c>
      <c r="J166" s="3">
        <f t="shared" si="8"/>
        <v>20</v>
      </c>
      <c r="K166" s="3">
        <f t="shared" si="9"/>
        <v>10.374285714285715</v>
      </c>
      <c r="L166" s="3">
        <f t="shared" si="10"/>
        <v>3.0455108785458549</v>
      </c>
      <c r="M166" s="3">
        <f t="shared" si="11"/>
        <v>31.594999999999999</v>
      </c>
    </row>
    <row r="167" spans="1:13" x14ac:dyDescent="0.25">
      <c r="A167" s="2">
        <v>45579</v>
      </c>
      <c r="B167" t="s">
        <v>23</v>
      </c>
      <c r="C167" t="s">
        <v>10</v>
      </c>
      <c r="D167" t="s">
        <v>29</v>
      </c>
      <c r="E167">
        <v>23571</v>
      </c>
      <c r="F167">
        <v>579</v>
      </c>
      <c r="G167">
        <v>558.67999999999995</v>
      </c>
      <c r="H167">
        <v>42</v>
      </c>
      <c r="I167">
        <v>912.05</v>
      </c>
      <c r="J167" s="3">
        <f t="shared" si="8"/>
        <v>7.2538860103626934</v>
      </c>
      <c r="K167" s="3">
        <f t="shared" si="9"/>
        <v>13.30190476190476</v>
      </c>
      <c r="L167" s="3">
        <f t="shared" si="10"/>
        <v>1.6325087706737309</v>
      </c>
      <c r="M167" s="3">
        <f t="shared" si="11"/>
        <v>21.715476190476188</v>
      </c>
    </row>
    <row r="168" spans="1:13" x14ac:dyDescent="0.25">
      <c r="A168" s="2">
        <v>45579</v>
      </c>
      <c r="B168" t="s">
        <v>23</v>
      </c>
      <c r="C168" t="s">
        <v>12</v>
      </c>
      <c r="D168" t="s">
        <v>29</v>
      </c>
      <c r="E168">
        <v>42267</v>
      </c>
      <c r="F168">
        <v>1580</v>
      </c>
      <c r="G168">
        <v>3712.87</v>
      </c>
      <c r="H168">
        <v>191</v>
      </c>
      <c r="I168">
        <v>11321.3</v>
      </c>
      <c r="J168" s="3">
        <f t="shared" si="8"/>
        <v>12.088607594936709</v>
      </c>
      <c r="K168" s="3">
        <f t="shared" si="9"/>
        <v>19.439109947643978</v>
      </c>
      <c r="L168" s="3">
        <f t="shared" si="10"/>
        <v>3.0492045237242347</v>
      </c>
      <c r="M168" s="3">
        <f t="shared" si="11"/>
        <v>59.273821989528791</v>
      </c>
    </row>
    <row r="169" spans="1:13" x14ac:dyDescent="0.25">
      <c r="A169" s="2">
        <v>45579</v>
      </c>
      <c r="B169" t="s">
        <v>23</v>
      </c>
      <c r="C169" t="s">
        <v>14</v>
      </c>
      <c r="D169" t="s">
        <v>24</v>
      </c>
      <c r="E169">
        <v>2372</v>
      </c>
      <c r="F169">
        <v>106</v>
      </c>
      <c r="G169">
        <v>188.34</v>
      </c>
      <c r="H169">
        <v>20</v>
      </c>
      <c r="I169">
        <v>265.22000000000003</v>
      </c>
      <c r="J169" s="3">
        <f t="shared" si="8"/>
        <v>18.867924528301888</v>
      </c>
      <c r="K169" s="3">
        <f t="shared" si="9"/>
        <v>9.4169999999999998</v>
      </c>
      <c r="L169" s="3">
        <f t="shared" si="10"/>
        <v>1.408197939895933</v>
      </c>
      <c r="M169" s="3">
        <f t="shared" si="11"/>
        <v>13.261000000000001</v>
      </c>
    </row>
    <row r="170" spans="1:13" x14ac:dyDescent="0.25">
      <c r="A170" s="2">
        <v>45580</v>
      </c>
      <c r="B170" t="s">
        <v>9</v>
      </c>
      <c r="C170" t="s">
        <v>10</v>
      </c>
      <c r="D170" t="s">
        <v>26</v>
      </c>
      <c r="E170">
        <v>19876</v>
      </c>
      <c r="F170">
        <v>516</v>
      </c>
      <c r="G170">
        <v>1220.82</v>
      </c>
      <c r="H170">
        <v>58</v>
      </c>
      <c r="I170">
        <v>2650.37</v>
      </c>
      <c r="J170" s="3">
        <f t="shared" si="8"/>
        <v>11.24031007751938</v>
      </c>
      <c r="K170" s="3">
        <f t="shared" si="9"/>
        <v>21.04862068965517</v>
      </c>
      <c r="L170" s="3">
        <f t="shared" si="10"/>
        <v>2.1709752461460332</v>
      </c>
      <c r="M170" s="3">
        <f t="shared" si="11"/>
        <v>45.69603448275862</v>
      </c>
    </row>
    <row r="171" spans="1:13" x14ac:dyDescent="0.25">
      <c r="A171" s="2">
        <v>45580</v>
      </c>
      <c r="B171" t="s">
        <v>9</v>
      </c>
      <c r="C171" t="s">
        <v>12</v>
      </c>
      <c r="D171" t="s">
        <v>16</v>
      </c>
      <c r="E171">
        <v>42863</v>
      </c>
      <c r="F171">
        <v>1015</v>
      </c>
      <c r="G171">
        <v>2989.54</v>
      </c>
      <c r="H171">
        <v>150</v>
      </c>
      <c r="I171">
        <v>5583.39</v>
      </c>
      <c r="J171" s="3">
        <f t="shared" si="8"/>
        <v>14.77832512315271</v>
      </c>
      <c r="K171" s="3">
        <f t="shared" si="9"/>
        <v>19.930266666666668</v>
      </c>
      <c r="L171" s="3">
        <f t="shared" si="10"/>
        <v>1.8676418445647158</v>
      </c>
      <c r="M171" s="3">
        <f t="shared" si="11"/>
        <v>37.2226</v>
      </c>
    </row>
    <row r="172" spans="1:13" x14ac:dyDescent="0.25">
      <c r="A172" s="2">
        <v>45580</v>
      </c>
      <c r="B172" t="s">
        <v>9</v>
      </c>
      <c r="C172" t="s">
        <v>14</v>
      </c>
      <c r="D172" t="s">
        <v>11</v>
      </c>
      <c r="E172">
        <v>6362</v>
      </c>
      <c r="F172">
        <v>230</v>
      </c>
      <c r="G172">
        <v>130.54</v>
      </c>
      <c r="H172">
        <v>18</v>
      </c>
      <c r="I172">
        <v>570.04</v>
      </c>
      <c r="J172" s="3">
        <f t="shared" si="8"/>
        <v>7.8260869565217401</v>
      </c>
      <c r="K172" s="3">
        <f t="shared" si="9"/>
        <v>7.2522222222222217</v>
      </c>
      <c r="L172" s="3">
        <f t="shared" si="10"/>
        <v>4.366784127470507</v>
      </c>
      <c r="M172" s="3">
        <f t="shared" si="11"/>
        <v>31.668888888888887</v>
      </c>
    </row>
    <row r="173" spans="1:13" x14ac:dyDescent="0.25">
      <c r="A173" s="2">
        <v>45580</v>
      </c>
      <c r="B173" t="s">
        <v>15</v>
      </c>
      <c r="C173" t="s">
        <v>10</v>
      </c>
      <c r="D173" t="s">
        <v>27</v>
      </c>
      <c r="E173">
        <v>12361</v>
      </c>
      <c r="F173">
        <v>706</v>
      </c>
      <c r="G173">
        <v>1334.12</v>
      </c>
      <c r="H173">
        <v>12</v>
      </c>
      <c r="I173">
        <v>3812.43</v>
      </c>
      <c r="J173" s="3">
        <f t="shared" si="8"/>
        <v>1.6997167138810201</v>
      </c>
      <c r="K173" s="3">
        <f t="shared" si="9"/>
        <v>111.17666666666666</v>
      </c>
      <c r="L173" s="3">
        <f t="shared" si="10"/>
        <v>2.857636494468264</v>
      </c>
      <c r="M173" s="3">
        <f t="shared" si="11"/>
        <v>317.70249999999999</v>
      </c>
    </row>
    <row r="174" spans="1:13" x14ac:dyDescent="0.25">
      <c r="A174" s="2">
        <v>45580</v>
      </c>
      <c r="B174" t="s">
        <v>15</v>
      </c>
      <c r="C174" t="s">
        <v>12</v>
      </c>
      <c r="D174" t="s">
        <v>17</v>
      </c>
      <c r="E174">
        <v>40102</v>
      </c>
      <c r="F174">
        <v>2765</v>
      </c>
      <c r="G174">
        <v>2252.2399999999998</v>
      </c>
      <c r="H174">
        <v>149</v>
      </c>
      <c r="I174">
        <v>7610.14</v>
      </c>
      <c r="J174" s="3">
        <f t="shared" si="8"/>
        <v>5.3887884267631101</v>
      </c>
      <c r="K174" s="3">
        <f t="shared" si="9"/>
        <v>15.115704697986576</v>
      </c>
      <c r="L174" s="3">
        <f t="shared" si="10"/>
        <v>3.3789205413277452</v>
      </c>
      <c r="M174" s="3">
        <f t="shared" si="11"/>
        <v>51.074765100671144</v>
      </c>
    </row>
    <row r="175" spans="1:13" x14ac:dyDescent="0.25">
      <c r="A175" s="2">
        <v>45580</v>
      </c>
      <c r="B175" t="s">
        <v>15</v>
      </c>
      <c r="C175" t="s">
        <v>14</v>
      </c>
      <c r="D175" t="s">
        <v>17</v>
      </c>
      <c r="E175">
        <v>4371</v>
      </c>
      <c r="F175">
        <v>79</v>
      </c>
      <c r="G175">
        <v>191.76</v>
      </c>
      <c r="H175">
        <v>11</v>
      </c>
      <c r="I175">
        <v>355.35</v>
      </c>
      <c r="J175" s="3">
        <f t="shared" si="8"/>
        <v>13.924050632911392</v>
      </c>
      <c r="K175" s="3">
        <f t="shared" si="9"/>
        <v>17.432727272727274</v>
      </c>
      <c r="L175" s="3">
        <f t="shared" si="10"/>
        <v>1.8530976220275346</v>
      </c>
      <c r="M175" s="3">
        <f t="shared" si="11"/>
        <v>32.304545454545455</v>
      </c>
    </row>
    <row r="176" spans="1:13" x14ac:dyDescent="0.25">
      <c r="A176" s="2">
        <v>45580</v>
      </c>
      <c r="B176" t="s">
        <v>19</v>
      </c>
      <c r="C176" t="s">
        <v>10</v>
      </c>
      <c r="D176" t="s">
        <v>26</v>
      </c>
      <c r="E176">
        <v>21857</v>
      </c>
      <c r="F176">
        <v>390</v>
      </c>
      <c r="G176">
        <v>824.05</v>
      </c>
      <c r="H176">
        <v>16</v>
      </c>
      <c r="I176">
        <v>1750.78</v>
      </c>
      <c r="J176" s="3">
        <f t="shared" si="8"/>
        <v>4.1025641025641022</v>
      </c>
      <c r="K176" s="3">
        <f t="shared" si="9"/>
        <v>51.503124999999997</v>
      </c>
      <c r="L176" s="3">
        <f t="shared" si="10"/>
        <v>2.1246040895576725</v>
      </c>
      <c r="M176" s="3">
        <f t="shared" si="11"/>
        <v>109.42375</v>
      </c>
    </row>
    <row r="177" spans="1:13" x14ac:dyDescent="0.25">
      <c r="A177" s="2">
        <v>45580</v>
      </c>
      <c r="B177" t="s">
        <v>19</v>
      </c>
      <c r="C177" t="s">
        <v>12</v>
      </c>
      <c r="D177" t="s">
        <v>26</v>
      </c>
      <c r="E177">
        <v>69338</v>
      </c>
      <c r="F177">
        <v>1161</v>
      </c>
      <c r="G177">
        <v>2583.0700000000002</v>
      </c>
      <c r="H177">
        <v>119</v>
      </c>
      <c r="I177">
        <v>10420.26</v>
      </c>
      <c r="J177" s="3">
        <f t="shared" si="8"/>
        <v>10.249784668389319</v>
      </c>
      <c r="K177" s="3">
        <f t="shared" si="9"/>
        <v>21.706470588235295</v>
      </c>
      <c r="L177" s="3">
        <f t="shared" si="10"/>
        <v>4.0340602461412196</v>
      </c>
      <c r="M177" s="3">
        <f t="shared" si="11"/>
        <v>87.565210084033609</v>
      </c>
    </row>
    <row r="178" spans="1:13" x14ac:dyDescent="0.25">
      <c r="A178" s="2">
        <v>45580</v>
      </c>
      <c r="B178" t="s">
        <v>19</v>
      </c>
      <c r="C178" t="s">
        <v>14</v>
      </c>
      <c r="D178" t="s">
        <v>20</v>
      </c>
      <c r="E178">
        <v>4728</v>
      </c>
      <c r="F178">
        <v>249</v>
      </c>
      <c r="G178">
        <v>108.85</v>
      </c>
      <c r="H178">
        <v>17</v>
      </c>
      <c r="I178">
        <v>392.54</v>
      </c>
      <c r="J178" s="3">
        <f t="shared" si="8"/>
        <v>6.8273092369477917</v>
      </c>
      <c r="K178" s="3">
        <f t="shared" si="9"/>
        <v>6.4029411764705877</v>
      </c>
      <c r="L178" s="3">
        <f t="shared" si="10"/>
        <v>3.6062471290767113</v>
      </c>
      <c r="M178" s="3">
        <f t="shared" si="11"/>
        <v>23.090588235294121</v>
      </c>
    </row>
    <row r="179" spans="1:13" x14ac:dyDescent="0.25">
      <c r="A179" s="2">
        <v>45580</v>
      </c>
      <c r="B179" t="s">
        <v>23</v>
      </c>
      <c r="C179" t="s">
        <v>10</v>
      </c>
      <c r="D179" t="s">
        <v>25</v>
      </c>
      <c r="E179">
        <v>21448</v>
      </c>
      <c r="F179">
        <v>659</v>
      </c>
      <c r="G179">
        <v>1172.8499999999999</v>
      </c>
      <c r="H179">
        <v>51</v>
      </c>
      <c r="I179">
        <v>5039.8999999999996</v>
      </c>
      <c r="J179" s="3">
        <f t="shared" si="8"/>
        <v>7.7389984825493165</v>
      </c>
      <c r="K179" s="3">
        <f t="shared" si="9"/>
        <v>22.997058823529411</v>
      </c>
      <c r="L179" s="3">
        <f t="shared" si="10"/>
        <v>4.2971394466470567</v>
      </c>
      <c r="M179" s="3">
        <f t="shared" si="11"/>
        <v>98.821568627450972</v>
      </c>
    </row>
    <row r="180" spans="1:13" x14ac:dyDescent="0.25">
      <c r="A180" s="2">
        <v>45580</v>
      </c>
      <c r="B180" t="s">
        <v>23</v>
      </c>
      <c r="C180" t="s">
        <v>12</v>
      </c>
      <c r="D180" t="s">
        <v>25</v>
      </c>
      <c r="E180">
        <v>41737</v>
      </c>
      <c r="F180">
        <v>1299</v>
      </c>
      <c r="G180">
        <v>2023.87</v>
      </c>
      <c r="H180">
        <v>84</v>
      </c>
      <c r="I180">
        <v>7061.52</v>
      </c>
      <c r="J180" s="3">
        <f t="shared" si="8"/>
        <v>6.4665127020785222</v>
      </c>
      <c r="K180" s="3">
        <f t="shared" si="9"/>
        <v>24.093690476190474</v>
      </c>
      <c r="L180" s="3">
        <f t="shared" si="10"/>
        <v>3.4891173840217014</v>
      </c>
      <c r="M180" s="3">
        <f t="shared" si="11"/>
        <v>84.065714285714293</v>
      </c>
    </row>
    <row r="181" spans="1:13" x14ac:dyDescent="0.25">
      <c r="A181" s="2">
        <v>45580</v>
      </c>
      <c r="B181" t="s">
        <v>23</v>
      </c>
      <c r="C181" t="s">
        <v>14</v>
      </c>
      <c r="D181" t="s">
        <v>28</v>
      </c>
      <c r="E181">
        <v>3451</v>
      </c>
      <c r="F181">
        <v>247</v>
      </c>
      <c r="G181">
        <v>269.77999999999997</v>
      </c>
      <c r="H181">
        <v>15</v>
      </c>
      <c r="I181">
        <v>1097.17</v>
      </c>
      <c r="J181" s="3">
        <f t="shared" si="8"/>
        <v>6.0728744939271255</v>
      </c>
      <c r="K181" s="3">
        <f t="shared" si="9"/>
        <v>17.985333333333333</v>
      </c>
      <c r="L181" s="3">
        <f t="shared" si="10"/>
        <v>4.0669063681518285</v>
      </c>
      <c r="M181" s="3">
        <f t="shared" si="11"/>
        <v>73.144666666666666</v>
      </c>
    </row>
    <row r="182" spans="1:13" x14ac:dyDescent="0.25">
      <c r="A182" s="2">
        <v>45581</v>
      </c>
      <c r="B182" t="s">
        <v>9</v>
      </c>
      <c r="C182" t="s">
        <v>10</v>
      </c>
      <c r="D182" t="s">
        <v>11</v>
      </c>
      <c r="E182">
        <v>28497</v>
      </c>
      <c r="F182">
        <v>630</v>
      </c>
      <c r="G182">
        <v>1337.1</v>
      </c>
      <c r="H182">
        <v>50</v>
      </c>
      <c r="I182">
        <v>3210.82</v>
      </c>
      <c r="J182" s="3">
        <f t="shared" si="8"/>
        <v>7.9365079365079358</v>
      </c>
      <c r="K182" s="3">
        <f t="shared" si="9"/>
        <v>26.741999999999997</v>
      </c>
      <c r="L182" s="3">
        <f t="shared" si="10"/>
        <v>2.4013312392491217</v>
      </c>
      <c r="M182" s="3">
        <f t="shared" si="11"/>
        <v>64.216400000000007</v>
      </c>
    </row>
    <row r="183" spans="1:13" x14ac:dyDescent="0.25">
      <c r="A183" s="2">
        <v>45581</v>
      </c>
      <c r="B183" t="s">
        <v>9</v>
      </c>
      <c r="C183" t="s">
        <v>12</v>
      </c>
      <c r="D183" t="s">
        <v>11</v>
      </c>
      <c r="E183">
        <v>39475</v>
      </c>
      <c r="F183">
        <v>1960</v>
      </c>
      <c r="G183">
        <v>2768.83</v>
      </c>
      <c r="H183">
        <v>117</v>
      </c>
      <c r="I183">
        <v>11701.22</v>
      </c>
      <c r="J183" s="3">
        <f t="shared" si="8"/>
        <v>5.9693877551020407</v>
      </c>
      <c r="K183" s="3">
        <f t="shared" si="9"/>
        <v>23.665213675213675</v>
      </c>
      <c r="L183" s="3">
        <f t="shared" si="10"/>
        <v>4.2260521592152642</v>
      </c>
      <c r="M183" s="3">
        <f t="shared" si="11"/>
        <v>100.01042735042735</v>
      </c>
    </row>
    <row r="184" spans="1:13" x14ac:dyDescent="0.25">
      <c r="A184" s="2">
        <v>45581</v>
      </c>
      <c r="B184" t="s">
        <v>9</v>
      </c>
      <c r="C184" t="s">
        <v>14</v>
      </c>
      <c r="D184" t="s">
        <v>13</v>
      </c>
      <c r="E184">
        <v>4883</v>
      </c>
      <c r="F184">
        <v>179</v>
      </c>
      <c r="G184">
        <v>75.97</v>
      </c>
      <c r="H184">
        <v>15</v>
      </c>
      <c r="I184">
        <v>221.63</v>
      </c>
      <c r="J184" s="3">
        <f t="shared" si="8"/>
        <v>8.3798882681564244</v>
      </c>
      <c r="K184" s="3">
        <f t="shared" si="9"/>
        <v>5.0646666666666667</v>
      </c>
      <c r="L184" s="3">
        <f t="shared" si="10"/>
        <v>2.9173357904435959</v>
      </c>
      <c r="M184" s="3">
        <f t="shared" si="11"/>
        <v>14.775333333333332</v>
      </c>
    </row>
    <row r="185" spans="1:13" x14ac:dyDescent="0.25">
      <c r="A185" s="2">
        <v>45581</v>
      </c>
      <c r="B185" t="s">
        <v>15</v>
      </c>
      <c r="C185" t="s">
        <v>10</v>
      </c>
      <c r="D185" t="s">
        <v>18</v>
      </c>
      <c r="E185">
        <v>22082</v>
      </c>
      <c r="F185">
        <v>593</v>
      </c>
      <c r="G185">
        <v>392.08</v>
      </c>
      <c r="H185">
        <v>15</v>
      </c>
      <c r="I185">
        <v>1386.8</v>
      </c>
      <c r="J185" s="3">
        <f t="shared" si="8"/>
        <v>2.5295109612141653</v>
      </c>
      <c r="K185" s="3">
        <f t="shared" si="9"/>
        <v>26.138666666666666</v>
      </c>
      <c r="L185" s="3">
        <f t="shared" si="10"/>
        <v>3.5370332585186697</v>
      </c>
      <c r="M185" s="3">
        <f t="shared" si="11"/>
        <v>92.453333333333333</v>
      </c>
    </row>
    <row r="186" spans="1:13" x14ac:dyDescent="0.25">
      <c r="A186" s="2">
        <v>45581</v>
      </c>
      <c r="B186" t="s">
        <v>15</v>
      </c>
      <c r="C186" t="s">
        <v>12</v>
      </c>
      <c r="D186" t="s">
        <v>17</v>
      </c>
      <c r="E186">
        <v>65324</v>
      </c>
      <c r="F186">
        <v>2188</v>
      </c>
      <c r="G186">
        <v>3217.27</v>
      </c>
      <c r="H186">
        <v>242</v>
      </c>
      <c r="I186">
        <v>12894.5</v>
      </c>
      <c r="J186" s="3">
        <f t="shared" si="8"/>
        <v>11.060329067641682</v>
      </c>
      <c r="K186" s="3">
        <f t="shared" si="9"/>
        <v>13.294504132231404</v>
      </c>
      <c r="L186" s="3">
        <f t="shared" si="10"/>
        <v>4.0079011087039635</v>
      </c>
      <c r="M186" s="3">
        <f t="shared" si="11"/>
        <v>53.283057851239668</v>
      </c>
    </row>
    <row r="187" spans="1:13" x14ac:dyDescent="0.25">
      <c r="A187" s="2">
        <v>45581</v>
      </c>
      <c r="B187" t="s">
        <v>15</v>
      </c>
      <c r="C187" t="s">
        <v>14</v>
      </c>
      <c r="D187" t="s">
        <v>18</v>
      </c>
      <c r="E187">
        <v>5684</v>
      </c>
      <c r="F187">
        <v>196</v>
      </c>
      <c r="G187">
        <v>278.14</v>
      </c>
      <c r="H187">
        <v>11</v>
      </c>
      <c r="I187">
        <v>973.22</v>
      </c>
      <c r="J187" s="3">
        <f t="shared" si="8"/>
        <v>5.6122448979591839</v>
      </c>
      <c r="K187" s="3">
        <f t="shared" si="9"/>
        <v>25.285454545454545</v>
      </c>
      <c r="L187" s="3">
        <f t="shared" si="10"/>
        <v>3.4990292658373483</v>
      </c>
      <c r="M187" s="3">
        <f t="shared" si="11"/>
        <v>88.474545454545463</v>
      </c>
    </row>
    <row r="188" spans="1:13" x14ac:dyDescent="0.25">
      <c r="A188" s="2">
        <v>45581</v>
      </c>
      <c r="B188" t="s">
        <v>19</v>
      </c>
      <c r="C188" t="s">
        <v>10</v>
      </c>
      <c r="D188" t="s">
        <v>20</v>
      </c>
      <c r="E188">
        <v>12027</v>
      </c>
      <c r="F188">
        <v>761</v>
      </c>
      <c r="G188">
        <v>424.2</v>
      </c>
      <c r="H188">
        <v>31</v>
      </c>
      <c r="I188">
        <v>2092.61</v>
      </c>
      <c r="J188" s="3">
        <f t="shared" si="8"/>
        <v>4.0735873850197102</v>
      </c>
      <c r="K188" s="3">
        <f t="shared" si="9"/>
        <v>13.683870967741935</v>
      </c>
      <c r="L188" s="3">
        <f t="shared" si="10"/>
        <v>4.9330740216878839</v>
      </c>
      <c r="M188" s="3">
        <f t="shared" si="11"/>
        <v>67.503548387096785</v>
      </c>
    </row>
    <row r="189" spans="1:13" x14ac:dyDescent="0.25">
      <c r="A189" s="2">
        <v>45581</v>
      </c>
      <c r="B189" t="s">
        <v>19</v>
      </c>
      <c r="C189" t="s">
        <v>12</v>
      </c>
      <c r="D189" t="s">
        <v>21</v>
      </c>
      <c r="E189">
        <v>68066</v>
      </c>
      <c r="F189">
        <v>2323</v>
      </c>
      <c r="G189">
        <v>1690.24</v>
      </c>
      <c r="H189">
        <v>103</v>
      </c>
      <c r="I189">
        <v>6573.28</v>
      </c>
      <c r="J189" s="3">
        <f t="shared" si="8"/>
        <v>4.4339216530348686</v>
      </c>
      <c r="K189" s="3">
        <f t="shared" si="9"/>
        <v>16.410097087378642</v>
      </c>
      <c r="L189" s="3">
        <f t="shared" si="10"/>
        <v>3.8889625141991666</v>
      </c>
      <c r="M189" s="3">
        <f t="shared" si="11"/>
        <v>63.818252427184461</v>
      </c>
    </row>
    <row r="190" spans="1:13" x14ac:dyDescent="0.25">
      <c r="A190" s="2">
        <v>45581</v>
      </c>
      <c r="B190" t="s">
        <v>19</v>
      </c>
      <c r="C190" t="s">
        <v>14</v>
      </c>
      <c r="D190" t="s">
        <v>26</v>
      </c>
      <c r="E190">
        <v>6293</v>
      </c>
      <c r="F190">
        <v>183</v>
      </c>
      <c r="G190">
        <v>263.43</v>
      </c>
      <c r="H190">
        <v>12</v>
      </c>
      <c r="I190">
        <v>689.35</v>
      </c>
      <c r="J190" s="3">
        <f t="shared" si="8"/>
        <v>6.557377049180328</v>
      </c>
      <c r="K190" s="3">
        <f t="shared" si="9"/>
        <v>21.952500000000001</v>
      </c>
      <c r="L190" s="3">
        <f t="shared" si="10"/>
        <v>2.6168242037732985</v>
      </c>
      <c r="M190" s="3">
        <f t="shared" si="11"/>
        <v>57.445833333333333</v>
      </c>
    </row>
    <row r="191" spans="1:13" x14ac:dyDescent="0.25">
      <c r="A191" s="2">
        <v>45581</v>
      </c>
      <c r="B191" t="s">
        <v>23</v>
      </c>
      <c r="C191" t="s">
        <v>10</v>
      </c>
      <c r="D191" t="s">
        <v>24</v>
      </c>
      <c r="E191">
        <v>22694</v>
      </c>
      <c r="F191">
        <v>718</v>
      </c>
      <c r="G191">
        <v>1229.3599999999999</v>
      </c>
      <c r="H191">
        <v>53</v>
      </c>
      <c r="I191">
        <v>4268.3</v>
      </c>
      <c r="J191" s="3">
        <f t="shared" si="8"/>
        <v>7.3816155988857934</v>
      </c>
      <c r="K191" s="3">
        <f t="shared" si="9"/>
        <v>23.195471698113206</v>
      </c>
      <c r="L191" s="3">
        <f t="shared" si="10"/>
        <v>3.4719691546821116</v>
      </c>
      <c r="M191" s="3">
        <f t="shared" si="11"/>
        <v>80.533962264150944</v>
      </c>
    </row>
    <row r="192" spans="1:13" x14ac:dyDescent="0.25">
      <c r="A192" s="2">
        <v>45581</v>
      </c>
      <c r="B192" t="s">
        <v>23</v>
      </c>
      <c r="C192" t="s">
        <v>12</v>
      </c>
      <c r="D192" t="s">
        <v>24</v>
      </c>
      <c r="E192">
        <v>39319</v>
      </c>
      <c r="F192">
        <v>1675</v>
      </c>
      <c r="G192">
        <v>1378.02</v>
      </c>
      <c r="H192">
        <v>213</v>
      </c>
      <c r="I192">
        <v>3677.86</v>
      </c>
      <c r="J192" s="3">
        <f t="shared" si="8"/>
        <v>12.716417910447761</v>
      </c>
      <c r="K192" s="3">
        <f t="shared" si="9"/>
        <v>6.4695774647887321</v>
      </c>
      <c r="L192" s="3">
        <f t="shared" si="10"/>
        <v>2.6689452983265847</v>
      </c>
      <c r="M192" s="3">
        <f t="shared" si="11"/>
        <v>17.266948356807511</v>
      </c>
    </row>
    <row r="193" spans="1:13" x14ac:dyDescent="0.25">
      <c r="A193" s="2">
        <v>45581</v>
      </c>
      <c r="B193" t="s">
        <v>23</v>
      </c>
      <c r="C193" t="s">
        <v>14</v>
      </c>
      <c r="D193" t="s">
        <v>24</v>
      </c>
      <c r="E193">
        <v>7928</v>
      </c>
      <c r="F193">
        <v>218</v>
      </c>
      <c r="G193">
        <v>387.54</v>
      </c>
      <c r="H193">
        <v>20</v>
      </c>
      <c r="I193">
        <v>1751.09</v>
      </c>
      <c r="J193" s="3">
        <f t="shared" si="8"/>
        <v>9.1743119266055047</v>
      </c>
      <c r="K193" s="3">
        <f t="shared" si="9"/>
        <v>19.377000000000002</v>
      </c>
      <c r="L193" s="3">
        <f t="shared" si="10"/>
        <v>4.5184755122051916</v>
      </c>
      <c r="M193" s="3">
        <f t="shared" si="11"/>
        <v>87.55449999999999</v>
      </c>
    </row>
    <row r="194" spans="1:13" x14ac:dyDescent="0.25">
      <c r="A194" s="2">
        <v>45582</v>
      </c>
      <c r="B194" t="s">
        <v>9</v>
      </c>
      <c r="C194" t="s">
        <v>10</v>
      </c>
      <c r="D194" t="s">
        <v>16</v>
      </c>
      <c r="E194">
        <v>12670</v>
      </c>
      <c r="F194">
        <v>896</v>
      </c>
      <c r="G194">
        <v>1096.33</v>
      </c>
      <c r="H194">
        <v>32</v>
      </c>
      <c r="I194">
        <v>2608.04</v>
      </c>
      <c r="J194" s="3">
        <f t="shared" si="8"/>
        <v>3.5714285714285712</v>
      </c>
      <c r="K194" s="3">
        <f t="shared" si="9"/>
        <v>34.260312499999998</v>
      </c>
      <c r="L194" s="3">
        <f t="shared" si="10"/>
        <v>2.3788822708491058</v>
      </c>
      <c r="M194" s="3">
        <f t="shared" si="11"/>
        <v>81.501249999999999</v>
      </c>
    </row>
    <row r="195" spans="1:13" x14ac:dyDescent="0.25">
      <c r="A195" s="2">
        <v>45582</v>
      </c>
      <c r="B195" t="s">
        <v>9</v>
      </c>
      <c r="C195" t="s">
        <v>12</v>
      </c>
      <c r="D195" t="s">
        <v>11</v>
      </c>
      <c r="E195">
        <v>43450</v>
      </c>
      <c r="F195">
        <v>2218</v>
      </c>
      <c r="G195">
        <v>3835.34</v>
      </c>
      <c r="H195">
        <v>61</v>
      </c>
      <c r="I195">
        <v>9114.34</v>
      </c>
      <c r="J195" s="3">
        <f t="shared" ref="J195:J258" si="12">(H195/F195) * 100</f>
        <v>2.7502254283137963</v>
      </c>
      <c r="K195" s="3">
        <f t="shared" ref="K195:K258" si="13" xml:space="preserve"> G195/H195</f>
        <v>62.874426229508202</v>
      </c>
      <c r="L195" s="3">
        <f t="shared" ref="L195:L258" si="14">I195/G195</f>
        <v>2.3764099141145243</v>
      </c>
      <c r="M195" s="3">
        <f t="shared" ref="M195:M258" si="15">I195/H195</f>
        <v>149.41540983606558</v>
      </c>
    </row>
    <row r="196" spans="1:13" x14ac:dyDescent="0.25">
      <c r="A196" s="2">
        <v>45582</v>
      </c>
      <c r="B196" t="s">
        <v>9</v>
      </c>
      <c r="C196" t="s">
        <v>14</v>
      </c>
      <c r="D196" t="s">
        <v>11</v>
      </c>
      <c r="E196">
        <v>7271</v>
      </c>
      <c r="F196">
        <v>134</v>
      </c>
      <c r="G196">
        <v>334.61</v>
      </c>
      <c r="H196">
        <v>17</v>
      </c>
      <c r="I196">
        <v>520.36</v>
      </c>
      <c r="J196" s="3">
        <f t="shared" si="12"/>
        <v>12.686567164179104</v>
      </c>
      <c r="K196" s="3">
        <f t="shared" si="13"/>
        <v>19.682941176470589</v>
      </c>
      <c r="L196" s="3">
        <f t="shared" si="14"/>
        <v>1.5551238755566181</v>
      </c>
      <c r="M196" s="3">
        <f t="shared" si="15"/>
        <v>30.609411764705882</v>
      </c>
    </row>
    <row r="197" spans="1:13" x14ac:dyDescent="0.25">
      <c r="A197" s="2">
        <v>45582</v>
      </c>
      <c r="B197" t="s">
        <v>15</v>
      </c>
      <c r="C197" t="s">
        <v>10</v>
      </c>
      <c r="D197" t="s">
        <v>17</v>
      </c>
      <c r="E197">
        <v>26662</v>
      </c>
      <c r="F197">
        <v>670</v>
      </c>
      <c r="G197">
        <v>321.88</v>
      </c>
      <c r="H197">
        <v>29</v>
      </c>
      <c r="I197">
        <v>606.74</v>
      </c>
      <c r="J197" s="3">
        <f t="shared" si="12"/>
        <v>4.3283582089552244</v>
      </c>
      <c r="K197" s="3">
        <f t="shared" si="13"/>
        <v>11.099310344827586</v>
      </c>
      <c r="L197" s="3">
        <f t="shared" si="14"/>
        <v>1.8849881943581459</v>
      </c>
      <c r="M197" s="3">
        <f t="shared" si="15"/>
        <v>20.922068965517241</v>
      </c>
    </row>
    <row r="198" spans="1:13" x14ac:dyDescent="0.25">
      <c r="A198" s="2">
        <v>45582</v>
      </c>
      <c r="B198" t="s">
        <v>15</v>
      </c>
      <c r="C198" t="s">
        <v>12</v>
      </c>
      <c r="D198" t="s">
        <v>16</v>
      </c>
      <c r="E198">
        <v>57395</v>
      </c>
      <c r="F198">
        <v>2940</v>
      </c>
      <c r="G198">
        <v>4064.62</v>
      </c>
      <c r="H198">
        <v>89</v>
      </c>
      <c r="I198">
        <v>8376.6299999999992</v>
      </c>
      <c r="J198" s="3">
        <f t="shared" si="12"/>
        <v>3.0272108843537415</v>
      </c>
      <c r="K198" s="3">
        <f t="shared" si="13"/>
        <v>45.669887640449438</v>
      </c>
      <c r="L198" s="3">
        <f t="shared" si="14"/>
        <v>2.060864238231372</v>
      </c>
      <c r="M198" s="3">
        <f t="shared" si="15"/>
        <v>94.119438202247181</v>
      </c>
    </row>
    <row r="199" spans="1:13" x14ac:dyDescent="0.25">
      <c r="A199" s="2">
        <v>45582</v>
      </c>
      <c r="B199" t="s">
        <v>15</v>
      </c>
      <c r="C199" t="s">
        <v>14</v>
      </c>
      <c r="D199" t="s">
        <v>16</v>
      </c>
      <c r="E199">
        <v>3269</v>
      </c>
      <c r="F199">
        <v>69</v>
      </c>
      <c r="G199">
        <v>153.53</v>
      </c>
      <c r="H199">
        <v>4</v>
      </c>
      <c r="I199">
        <v>480.43</v>
      </c>
      <c r="J199" s="3">
        <f t="shared" si="12"/>
        <v>5.7971014492753623</v>
      </c>
      <c r="K199" s="3">
        <f t="shared" si="13"/>
        <v>38.3825</v>
      </c>
      <c r="L199" s="3">
        <f t="shared" si="14"/>
        <v>3.1292255585227644</v>
      </c>
      <c r="M199" s="3">
        <f t="shared" si="15"/>
        <v>120.1075</v>
      </c>
    </row>
    <row r="200" spans="1:13" x14ac:dyDescent="0.25">
      <c r="A200" s="2">
        <v>45582</v>
      </c>
      <c r="B200" t="s">
        <v>19</v>
      </c>
      <c r="C200" t="s">
        <v>10</v>
      </c>
      <c r="D200" t="s">
        <v>21</v>
      </c>
      <c r="E200">
        <v>21035</v>
      </c>
      <c r="F200">
        <v>434</v>
      </c>
      <c r="G200">
        <v>1016.7</v>
      </c>
      <c r="H200">
        <v>19</v>
      </c>
      <c r="I200">
        <v>1846.88</v>
      </c>
      <c r="J200" s="3">
        <f t="shared" si="12"/>
        <v>4.3778801843317972</v>
      </c>
      <c r="K200" s="3">
        <f t="shared" si="13"/>
        <v>53.510526315789477</v>
      </c>
      <c r="L200" s="3">
        <f t="shared" si="14"/>
        <v>1.8165437198780368</v>
      </c>
      <c r="M200" s="3">
        <f t="shared" si="15"/>
        <v>97.204210526315791</v>
      </c>
    </row>
    <row r="201" spans="1:13" x14ac:dyDescent="0.25">
      <c r="A201" s="2">
        <v>45582</v>
      </c>
      <c r="B201" t="s">
        <v>19</v>
      </c>
      <c r="C201" t="s">
        <v>12</v>
      </c>
      <c r="D201" t="s">
        <v>20</v>
      </c>
      <c r="E201">
        <v>63683</v>
      </c>
      <c r="F201">
        <v>1089</v>
      </c>
      <c r="G201">
        <v>2643.43</v>
      </c>
      <c r="H201">
        <v>213</v>
      </c>
      <c r="I201">
        <v>10400.379999999999</v>
      </c>
      <c r="J201" s="3">
        <f t="shared" si="12"/>
        <v>19.55922865013774</v>
      </c>
      <c r="K201" s="3">
        <f t="shared" si="13"/>
        <v>12.410469483568074</v>
      </c>
      <c r="L201" s="3">
        <f t="shared" si="14"/>
        <v>3.9344261054765965</v>
      </c>
      <c r="M201" s="3">
        <f t="shared" si="15"/>
        <v>48.828075117370886</v>
      </c>
    </row>
    <row r="202" spans="1:13" x14ac:dyDescent="0.25">
      <c r="A202" s="2">
        <v>45582</v>
      </c>
      <c r="B202" t="s">
        <v>19</v>
      </c>
      <c r="C202" t="s">
        <v>14</v>
      </c>
      <c r="D202" t="s">
        <v>26</v>
      </c>
      <c r="E202">
        <v>7001</v>
      </c>
      <c r="F202">
        <v>122</v>
      </c>
      <c r="G202">
        <v>313.33999999999997</v>
      </c>
      <c r="H202">
        <v>15</v>
      </c>
      <c r="I202">
        <v>654.63</v>
      </c>
      <c r="J202" s="3">
        <f t="shared" si="12"/>
        <v>12.295081967213115</v>
      </c>
      <c r="K202" s="3">
        <f t="shared" si="13"/>
        <v>20.889333333333333</v>
      </c>
      <c r="L202" s="3">
        <f t="shared" si="14"/>
        <v>2.0892002297823451</v>
      </c>
      <c r="M202" s="3">
        <f t="shared" si="15"/>
        <v>43.642000000000003</v>
      </c>
    </row>
    <row r="203" spans="1:13" x14ac:dyDescent="0.25">
      <c r="A203" s="2">
        <v>45582</v>
      </c>
      <c r="B203" t="s">
        <v>23</v>
      </c>
      <c r="C203" t="s">
        <v>10</v>
      </c>
      <c r="D203" t="s">
        <v>25</v>
      </c>
      <c r="E203">
        <v>20140</v>
      </c>
      <c r="F203">
        <v>780</v>
      </c>
      <c r="G203">
        <v>1384.77</v>
      </c>
      <c r="H203">
        <v>22</v>
      </c>
      <c r="I203">
        <v>3597.35</v>
      </c>
      <c r="J203" s="3">
        <f t="shared" si="12"/>
        <v>2.8205128205128207</v>
      </c>
      <c r="K203" s="3">
        <f t="shared" si="13"/>
        <v>62.94409090909091</v>
      </c>
      <c r="L203" s="3">
        <f t="shared" si="14"/>
        <v>2.5977960238884434</v>
      </c>
      <c r="M203" s="3">
        <f t="shared" si="15"/>
        <v>163.51590909090908</v>
      </c>
    </row>
    <row r="204" spans="1:13" x14ac:dyDescent="0.25">
      <c r="A204" s="2">
        <v>45582</v>
      </c>
      <c r="B204" t="s">
        <v>23</v>
      </c>
      <c r="C204" t="s">
        <v>12</v>
      </c>
      <c r="D204" t="s">
        <v>29</v>
      </c>
      <c r="E204">
        <v>65256</v>
      </c>
      <c r="F204">
        <v>2575</v>
      </c>
      <c r="G204">
        <v>2127.09</v>
      </c>
      <c r="H204">
        <v>137</v>
      </c>
      <c r="I204">
        <v>6617.47</v>
      </c>
      <c r="J204" s="3">
        <f t="shared" si="12"/>
        <v>5.3203883495145634</v>
      </c>
      <c r="K204" s="3">
        <f t="shared" si="13"/>
        <v>15.526204379562046</v>
      </c>
      <c r="L204" s="3">
        <f t="shared" si="14"/>
        <v>3.1110437264055588</v>
      </c>
      <c r="M204" s="3">
        <f t="shared" si="15"/>
        <v>48.302700729927011</v>
      </c>
    </row>
    <row r="205" spans="1:13" x14ac:dyDescent="0.25">
      <c r="A205" s="2">
        <v>45582</v>
      </c>
      <c r="B205" t="s">
        <v>23</v>
      </c>
      <c r="C205" t="s">
        <v>14</v>
      </c>
      <c r="D205" t="s">
        <v>29</v>
      </c>
      <c r="E205">
        <v>3327</v>
      </c>
      <c r="F205">
        <v>101</v>
      </c>
      <c r="G205">
        <v>330.44</v>
      </c>
      <c r="H205">
        <v>5</v>
      </c>
      <c r="I205">
        <v>1492.73</v>
      </c>
      <c r="J205" s="3">
        <f t="shared" si="12"/>
        <v>4.9504950495049505</v>
      </c>
      <c r="K205" s="3">
        <f t="shared" si="13"/>
        <v>66.087999999999994</v>
      </c>
      <c r="L205" s="3">
        <f t="shared" si="14"/>
        <v>4.5174010410361944</v>
      </c>
      <c r="M205" s="3">
        <f t="shared" si="15"/>
        <v>298.54599999999999</v>
      </c>
    </row>
    <row r="206" spans="1:13" x14ac:dyDescent="0.25">
      <c r="A206" s="2">
        <v>45583</v>
      </c>
      <c r="B206" t="s">
        <v>9</v>
      </c>
      <c r="C206" t="s">
        <v>10</v>
      </c>
      <c r="D206" t="s">
        <v>13</v>
      </c>
      <c r="E206">
        <v>25747</v>
      </c>
      <c r="F206">
        <v>680</v>
      </c>
      <c r="G206">
        <v>965.45</v>
      </c>
      <c r="H206">
        <v>16</v>
      </c>
      <c r="I206">
        <v>3768.46</v>
      </c>
      <c r="J206" s="3">
        <f t="shared" si="12"/>
        <v>2.3529411764705883</v>
      </c>
      <c r="K206" s="3">
        <f t="shared" si="13"/>
        <v>60.340625000000003</v>
      </c>
      <c r="L206" s="3">
        <f t="shared" si="14"/>
        <v>3.9033196954787921</v>
      </c>
      <c r="M206" s="3">
        <f t="shared" si="15"/>
        <v>235.52875</v>
      </c>
    </row>
    <row r="207" spans="1:13" x14ac:dyDescent="0.25">
      <c r="A207" s="2">
        <v>45583</v>
      </c>
      <c r="B207" t="s">
        <v>9</v>
      </c>
      <c r="C207" t="s">
        <v>12</v>
      </c>
      <c r="D207" t="s">
        <v>13</v>
      </c>
      <c r="E207">
        <v>53681</v>
      </c>
      <c r="F207">
        <v>1171</v>
      </c>
      <c r="G207">
        <v>4052.47</v>
      </c>
      <c r="H207">
        <v>109</v>
      </c>
      <c r="I207">
        <v>11782.2</v>
      </c>
      <c r="J207" s="3">
        <f t="shared" si="12"/>
        <v>9.3082835183603763</v>
      </c>
      <c r="K207" s="3">
        <f t="shared" si="13"/>
        <v>37.178623853211008</v>
      </c>
      <c r="L207" s="3">
        <f t="shared" si="14"/>
        <v>2.9074120227910387</v>
      </c>
      <c r="M207" s="3">
        <f t="shared" si="15"/>
        <v>108.09357798165138</v>
      </c>
    </row>
    <row r="208" spans="1:13" x14ac:dyDescent="0.25">
      <c r="A208" s="2">
        <v>45583</v>
      </c>
      <c r="B208" t="s">
        <v>9</v>
      </c>
      <c r="C208" t="s">
        <v>14</v>
      </c>
      <c r="D208" t="s">
        <v>26</v>
      </c>
      <c r="E208">
        <v>5583</v>
      </c>
      <c r="F208">
        <v>73</v>
      </c>
      <c r="G208">
        <v>381.24</v>
      </c>
      <c r="H208">
        <v>8</v>
      </c>
      <c r="I208">
        <v>1640.66</v>
      </c>
      <c r="J208" s="3">
        <f t="shared" si="12"/>
        <v>10.95890410958904</v>
      </c>
      <c r="K208" s="3">
        <f t="shared" si="13"/>
        <v>47.655000000000001</v>
      </c>
      <c r="L208" s="3">
        <f t="shared" si="14"/>
        <v>4.3034833700556083</v>
      </c>
      <c r="M208" s="3">
        <f t="shared" si="15"/>
        <v>205.08250000000001</v>
      </c>
    </row>
    <row r="209" spans="1:13" x14ac:dyDescent="0.25">
      <c r="A209" s="2">
        <v>45583</v>
      </c>
      <c r="B209" t="s">
        <v>15</v>
      </c>
      <c r="C209" t="s">
        <v>10</v>
      </c>
      <c r="D209" t="s">
        <v>27</v>
      </c>
      <c r="E209">
        <v>10873</v>
      </c>
      <c r="F209">
        <v>724</v>
      </c>
      <c r="G209">
        <v>363.91</v>
      </c>
      <c r="H209">
        <v>42</v>
      </c>
      <c r="I209">
        <v>953.83</v>
      </c>
      <c r="J209" s="3">
        <f t="shared" si="12"/>
        <v>5.8011049723756907</v>
      </c>
      <c r="K209" s="3">
        <f t="shared" si="13"/>
        <v>8.6645238095238106</v>
      </c>
      <c r="L209" s="3">
        <f t="shared" si="14"/>
        <v>2.6210601522354429</v>
      </c>
      <c r="M209" s="3">
        <f t="shared" si="15"/>
        <v>22.710238095238097</v>
      </c>
    </row>
    <row r="210" spans="1:13" x14ac:dyDescent="0.25">
      <c r="A210" s="2">
        <v>45583</v>
      </c>
      <c r="B210" t="s">
        <v>15</v>
      </c>
      <c r="C210" t="s">
        <v>12</v>
      </c>
      <c r="D210" t="s">
        <v>17</v>
      </c>
      <c r="E210">
        <v>40348</v>
      </c>
      <c r="F210">
        <v>1767</v>
      </c>
      <c r="G210">
        <v>1898.16</v>
      </c>
      <c r="H210">
        <v>121</v>
      </c>
      <c r="I210">
        <v>8991.85</v>
      </c>
      <c r="J210" s="3">
        <f t="shared" si="12"/>
        <v>6.8477645727221272</v>
      </c>
      <c r="K210" s="3">
        <f t="shared" si="13"/>
        <v>15.687272727272727</v>
      </c>
      <c r="L210" s="3">
        <f t="shared" si="14"/>
        <v>4.7371401778564506</v>
      </c>
      <c r="M210" s="3">
        <f t="shared" si="15"/>
        <v>74.312809917355381</v>
      </c>
    </row>
    <row r="211" spans="1:13" x14ac:dyDescent="0.25">
      <c r="A211" s="2">
        <v>45583</v>
      </c>
      <c r="B211" t="s">
        <v>15</v>
      </c>
      <c r="C211" t="s">
        <v>14</v>
      </c>
      <c r="D211" t="s">
        <v>27</v>
      </c>
      <c r="E211">
        <v>3196</v>
      </c>
      <c r="F211">
        <v>85</v>
      </c>
      <c r="G211">
        <v>63.41</v>
      </c>
      <c r="H211">
        <v>16</v>
      </c>
      <c r="I211">
        <v>243.82</v>
      </c>
      <c r="J211" s="3">
        <f t="shared" si="12"/>
        <v>18.823529411764707</v>
      </c>
      <c r="K211" s="3">
        <f t="shared" si="13"/>
        <v>3.9631249999999998</v>
      </c>
      <c r="L211" s="3">
        <f t="shared" si="14"/>
        <v>3.8451348367765337</v>
      </c>
      <c r="M211" s="3">
        <f t="shared" si="15"/>
        <v>15.23875</v>
      </c>
    </row>
    <row r="212" spans="1:13" x14ac:dyDescent="0.25">
      <c r="A212" s="2">
        <v>45583</v>
      </c>
      <c r="B212" t="s">
        <v>19</v>
      </c>
      <c r="C212" t="s">
        <v>10</v>
      </c>
      <c r="D212" t="s">
        <v>20</v>
      </c>
      <c r="E212">
        <v>25371</v>
      </c>
      <c r="F212">
        <v>759</v>
      </c>
      <c r="G212">
        <v>1038.42</v>
      </c>
      <c r="H212">
        <v>15</v>
      </c>
      <c r="I212">
        <v>1321.09</v>
      </c>
      <c r="J212" s="3">
        <f t="shared" si="12"/>
        <v>1.9762845849802373</v>
      </c>
      <c r="K212" s="3">
        <f t="shared" si="13"/>
        <v>69.228000000000009</v>
      </c>
      <c r="L212" s="3">
        <f t="shared" si="14"/>
        <v>1.2722116292059089</v>
      </c>
      <c r="M212" s="3">
        <f t="shared" si="15"/>
        <v>88.072666666666663</v>
      </c>
    </row>
    <row r="213" spans="1:13" x14ac:dyDescent="0.25">
      <c r="A213" s="2">
        <v>45583</v>
      </c>
      <c r="B213" t="s">
        <v>19</v>
      </c>
      <c r="C213" t="s">
        <v>12</v>
      </c>
      <c r="D213" t="s">
        <v>20</v>
      </c>
      <c r="E213">
        <v>44798</v>
      </c>
      <c r="F213">
        <v>2123</v>
      </c>
      <c r="G213">
        <v>4760.8999999999996</v>
      </c>
      <c r="H213">
        <v>195</v>
      </c>
      <c r="I213">
        <v>15261.22</v>
      </c>
      <c r="J213" s="3">
        <f t="shared" si="12"/>
        <v>9.1851154027319826</v>
      </c>
      <c r="K213" s="3">
        <f t="shared" si="13"/>
        <v>24.414871794871793</v>
      </c>
      <c r="L213" s="3">
        <f t="shared" si="14"/>
        <v>3.2055325673717157</v>
      </c>
      <c r="M213" s="3">
        <f t="shared" si="15"/>
        <v>78.262666666666661</v>
      </c>
    </row>
    <row r="214" spans="1:13" x14ac:dyDescent="0.25">
      <c r="A214" s="2">
        <v>45583</v>
      </c>
      <c r="B214" t="s">
        <v>19</v>
      </c>
      <c r="C214" t="s">
        <v>14</v>
      </c>
      <c r="D214" t="s">
        <v>21</v>
      </c>
      <c r="E214">
        <v>4360</v>
      </c>
      <c r="F214">
        <v>110</v>
      </c>
      <c r="G214">
        <v>155.4</v>
      </c>
      <c r="H214">
        <v>2</v>
      </c>
      <c r="I214">
        <v>327.27999999999997</v>
      </c>
      <c r="J214" s="3">
        <f t="shared" si="12"/>
        <v>1.8181818181818181</v>
      </c>
      <c r="K214" s="3">
        <f t="shared" si="13"/>
        <v>77.7</v>
      </c>
      <c r="L214" s="3">
        <f t="shared" si="14"/>
        <v>2.1060489060489056</v>
      </c>
      <c r="M214" s="3">
        <f t="shared" si="15"/>
        <v>163.63999999999999</v>
      </c>
    </row>
    <row r="215" spans="1:13" x14ac:dyDescent="0.25">
      <c r="A215" s="2">
        <v>45583</v>
      </c>
      <c r="B215" t="s">
        <v>23</v>
      </c>
      <c r="C215" t="s">
        <v>10</v>
      </c>
      <c r="D215" t="s">
        <v>29</v>
      </c>
      <c r="E215">
        <v>12058</v>
      </c>
      <c r="F215">
        <v>413</v>
      </c>
      <c r="G215">
        <v>1304.03</v>
      </c>
      <c r="H215">
        <v>41</v>
      </c>
      <c r="I215">
        <v>4521.87</v>
      </c>
      <c r="J215" s="3">
        <f t="shared" si="12"/>
        <v>9.9273607748184016</v>
      </c>
      <c r="K215" s="3">
        <f t="shared" si="13"/>
        <v>31.80560975609756</v>
      </c>
      <c r="L215" s="3">
        <f t="shared" si="14"/>
        <v>3.4676119414430651</v>
      </c>
      <c r="M215" s="3">
        <f t="shared" si="15"/>
        <v>110.28951219512194</v>
      </c>
    </row>
    <row r="216" spans="1:13" x14ac:dyDescent="0.25">
      <c r="A216" s="2">
        <v>45583</v>
      </c>
      <c r="B216" t="s">
        <v>23</v>
      </c>
      <c r="C216" t="s">
        <v>12</v>
      </c>
      <c r="D216" t="s">
        <v>28</v>
      </c>
      <c r="E216">
        <v>68775</v>
      </c>
      <c r="F216">
        <v>2177</v>
      </c>
      <c r="G216">
        <v>1967.75</v>
      </c>
      <c r="H216">
        <v>76</v>
      </c>
      <c r="I216">
        <v>4539.2700000000004</v>
      </c>
      <c r="J216" s="3">
        <f t="shared" si="12"/>
        <v>3.4910427193385392</v>
      </c>
      <c r="K216" s="3">
        <f t="shared" si="13"/>
        <v>25.891447368421051</v>
      </c>
      <c r="L216" s="3">
        <f t="shared" si="14"/>
        <v>2.306832676915259</v>
      </c>
      <c r="M216" s="3">
        <f t="shared" si="15"/>
        <v>59.72723684210527</v>
      </c>
    </row>
    <row r="217" spans="1:13" x14ac:dyDescent="0.25">
      <c r="A217" s="2">
        <v>45583</v>
      </c>
      <c r="B217" t="s">
        <v>23</v>
      </c>
      <c r="C217" t="s">
        <v>14</v>
      </c>
      <c r="D217" t="s">
        <v>28</v>
      </c>
      <c r="E217">
        <v>7036</v>
      </c>
      <c r="F217">
        <v>140</v>
      </c>
      <c r="G217">
        <v>134.19999999999999</v>
      </c>
      <c r="H217">
        <v>14</v>
      </c>
      <c r="I217">
        <v>256.56</v>
      </c>
      <c r="J217" s="3">
        <f t="shared" si="12"/>
        <v>10</v>
      </c>
      <c r="K217" s="3">
        <f t="shared" si="13"/>
        <v>9.5857142857142854</v>
      </c>
      <c r="L217" s="3">
        <f t="shared" si="14"/>
        <v>1.9117734724292104</v>
      </c>
      <c r="M217" s="3">
        <f t="shared" si="15"/>
        <v>18.325714285714287</v>
      </c>
    </row>
    <row r="218" spans="1:13" x14ac:dyDescent="0.25">
      <c r="A218" s="2">
        <v>45584</v>
      </c>
      <c r="B218" t="s">
        <v>9</v>
      </c>
      <c r="C218" t="s">
        <v>10</v>
      </c>
      <c r="D218" t="s">
        <v>13</v>
      </c>
      <c r="E218">
        <v>27153</v>
      </c>
      <c r="F218">
        <v>669</v>
      </c>
      <c r="G218">
        <v>381.22</v>
      </c>
      <c r="H218">
        <v>43</v>
      </c>
      <c r="I218">
        <v>1245.6400000000001</v>
      </c>
      <c r="J218" s="3">
        <f t="shared" si="12"/>
        <v>6.4275037369207766</v>
      </c>
      <c r="K218" s="3">
        <f t="shared" si="13"/>
        <v>8.8655813953488387</v>
      </c>
      <c r="L218" s="3">
        <f t="shared" si="14"/>
        <v>3.2675095745238969</v>
      </c>
      <c r="M218" s="3">
        <f t="shared" si="15"/>
        <v>28.968372093023259</v>
      </c>
    </row>
    <row r="219" spans="1:13" x14ac:dyDescent="0.25">
      <c r="A219" s="2">
        <v>45584</v>
      </c>
      <c r="B219" t="s">
        <v>9</v>
      </c>
      <c r="C219" t="s">
        <v>12</v>
      </c>
      <c r="D219" t="s">
        <v>13</v>
      </c>
      <c r="E219">
        <v>60588</v>
      </c>
      <c r="F219">
        <v>2788</v>
      </c>
      <c r="G219">
        <v>2880.54</v>
      </c>
      <c r="H219">
        <v>202</v>
      </c>
      <c r="I219">
        <v>7691.47</v>
      </c>
      <c r="J219" s="3">
        <f t="shared" si="12"/>
        <v>7.2453371592539453</v>
      </c>
      <c r="K219" s="3">
        <f t="shared" si="13"/>
        <v>14.260099009900991</v>
      </c>
      <c r="L219" s="3">
        <f t="shared" si="14"/>
        <v>2.6701486526831775</v>
      </c>
      <c r="M219" s="3">
        <f t="shared" si="15"/>
        <v>38.076584158415841</v>
      </c>
    </row>
    <row r="220" spans="1:13" x14ac:dyDescent="0.25">
      <c r="A220" s="2">
        <v>45584</v>
      </c>
      <c r="B220" t="s">
        <v>9</v>
      </c>
      <c r="C220" t="s">
        <v>14</v>
      </c>
      <c r="D220" t="s">
        <v>16</v>
      </c>
      <c r="E220">
        <v>4077</v>
      </c>
      <c r="F220">
        <v>241</v>
      </c>
      <c r="G220">
        <v>55.68</v>
      </c>
      <c r="H220">
        <v>3</v>
      </c>
      <c r="I220">
        <v>139.77000000000001</v>
      </c>
      <c r="J220" s="3">
        <f t="shared" si="12"/>
        <v>1.2448132780082988</v>
      </c>
      <c r="K220" s="3">
        <f t="shared" si="13"/>
        <v>18.559999999999999</v>
      </c>
      <c r="L220" s="3">
        <f t="shared" si="14"/>
        <v>2.5102370689655173</v>
      </c>
      <c r="M220" s="3">
        <f t="shared" si="15"/>
        <v>46.59</v>
      </c>
    </row>
    <row r="221" spans="1:13" x14ac:dyDescent="0.25">
      <c r="A221" s="2">
        <v>45584</v>
      </c>
      <c r="B221" t="s">
        <v>15</v>
      </c>
      <c r="C221" t="s">
        <v>10</v>
      </c>
      <c r="D221" t="s">
        <v>18</v>
      </c>
      <c r="E221">
        <v>29067</v>
      </c>
      <c r="F221">
        <v>640</v>
      </c>
      <c r="G221">
        <v>460.09</v>
      </c>
      <c r="H221">
        <v>32</v>
      </c>
      <c r="I221">
        <v>1506.73</v>
      </c>
      <c r="J221" s="3">
        <f t="shared" si="12"/>
        <v>5</v>
      </c>
      <c r="K221" s="3">
        <f t="shared" si="13"/>
        <v>14.377812499999999</v>
      </c>
      <c r="L221" s="3">
        <f t="shared" si="14"/>
        <v>3.2748592666652181</v>
      </c>
      <c r="M221" s="3">
        <f t="shared" si="15"/>
        <v>47.085312500000001</v>
      </c>
    </row>
    <row r="222" spans="1:13" x14ac:dyDescent="0.25">
      <c r="A222" s="2">
        <v>45584</v>
      </c>
      <c r="B222" t="s">
        <v>15</v>
      </c>
      <c r="C222" t="s">
        <v>12</v>
      </c>
      <c r="D222" t="s">
        <v>16</v>
      </c>
      <c r="E222">
        <v>65449</v>
      </c>
      <c r="F222">
        <v>2424</v>
      </c>
      <c r="G222">
        <v>2914.12</v>
      </c>
      <c r="H222">
        <v>86</v>
      </c>
      <c r="I222">
        <v>12483.19</v>
      </c>
      <c r="J222" s="3">
        <f t="shared" si="12"/>
        <v>3.5478547854785476</v>
      </c>
      <c r="K222" s="3">
        <f t="shared" si="13"/>
        <v>33.885116279069763</v>
      </c>
      <c r="L222" s="3">
        <f t="shared" si="14"/>
        <v>4.2836911314564947</v>
      </c>
      <c r="M222" s="3">
        <f t="shared" si="15"/>
        <v>145.15337209302325</v>
      </c>
    </row>
    <row r="223" spans="1:13" x14ac:dyDescent="0.25">
      <c r="A223" s="2">
        <v>45584</v>
      </c>
      <c r="B223" t="s">
        <v>15</v>
      </c>
      <c r="C223" t="s">
        <v>14</v>
      </c>
      <c r="D223" t="s">
        <v>18</v>
      </c>
      <c r="E223">
        <v>7865</v>
      </c>
      <c r="F223">
        <v>248</v>
      </c>
      <c r="G223">
        <v>380.26</v>
      </c>
      <c r="H223">
        <v>2</v>
      </c>
      <c r="I223">
        <v>880.33</v>
      </c>
      <c r="J223" s="3">
        <f t="shared" si="12"/>
        <v>0.80645161290322576</v>
      </c>
      <c r="K223" s="3">
        <f t="shared" si="13"/>
        <v>190.13</v>
      </c>
      <c r="L223" s="3">
        <f t="shared" si="14"/>
        <v>2.3150738968074478</v>
      </c>
      <c r="M223" s="3">
        <f t="shared" si="15"/>
        <v>440.16500000000002</v>
      </c>
    </row>
    <row r="224" spans="1:13" x14ac:dyDescent="0.25">
      <c r="A224" s="2">
        <v>45584</v>
      </c>
      <c r="B224" t="s">
        <v>19</v>
      </c>
      <c r="C224" t="s">
        <v>10</v>
      </c>
      <c r="D224" t="s">
        <v>21</v>
      </c>
      <c r="E224">
        <v>16536</v>
      </c>
      <c r="F224">
        <v>342</v>
      </c>
      <c r="G224">
        <v>678.71</v>
      </c>
      <c r="H224">
        <v>29</v>
      </c>
      <c r="I224">
        <v>2143.6799999999998</v>
      </c>
      <c r="J224" s="3">
        <f t="shared" si="12"/>
        <v>8.4795321637426895</v>
      </c>
      <c r="K224" s="3">
        <f t="shared" si="13"/>
        <v>23.403793103448276</v>
      </c>
      <c r="L224" s="3">
        <f t="shared" si="14"/>
        <v>3.1584623771566642</v>
      </c>
      <c r="M224" s="3">
        <f t="shared" si="15"/>
        <v>73.919999999999987</v>
      </c>
    </row>
    <row r="225" spans="1:13" x14ac:dyDescent="0.25">
      <c r="A225" s="2">
        <v>45584</v>
      </c>
      <c r="B225" t="s">
        <v>19</v>
      </c>
      <c r="C225" t="s">
        <v>12</v>
      </c>
      <c r="D225" t="s">
        <v>26</v>
      </c>
      <c r="E225">
        <v>51601</v>
      </c>
      <c r="F225">
        <v>1074</v>
      </c>
      <c r="G225">
        <v>4013.16</v>
      </c>
      <c r="H225">
        <v>88</v>
      </c>
      <c r="I225">
        <v>9178.99</v>
      </c>
      <c r="J225" s="3">
        <f t="shared" si="12"/>
        <v>8.1936685288640589</v>
      </c>
      <c r="K225" s="3">
        <f t="shared" si="13"/>
        <v>45.604090909090907</v>
      </c>
      <c r="L225" s="3">
        <f t="shared" si="14"/>
        <v>2.287222537850472</v>
      </c>
      <c r="M225" s="3">
        <f t="shared" si="15"/>
        <v>104.30670454545454</v>
      </c>
    </row>
    <row r="226" spans="1:13" x14ac:dyDescent="0.25">
      <c r="A226" s="2">
        <v>45584</v>
      </c>
      <c r="B226" t="s">
        <v>19</v>
      </c>
      <c r="C226" t="s">
        <v>14</v>
      </c>
      <c r="D226" t="s">
        <v>21</v>
      </c>
      <c r="E226">
        <v>7371</v>
      </c>
      <c r="F226">
        <v>134</v>
      </c>
      <c r="G226">
        <v>145.63</v>
      </c>
      <c r="H226">
        <v>12</v>
      </c>
      <c r="I226">
        <v>416.56</v>
      </c>
      <c r="J226" s="3">
        <f t="shared" si="12"/>
        <v>8.9552238805970141</v>
      </c>
      <c r="K226" s="3">
        <f t="shared" si="13"/>
        <v>12.135833333333332</v>
      </c>
      <c r="L226" s="3">
        <f t="shared" si="14"/>
        <v>2.860399642930715</v>
      </c>
      <c r="M226" s="3">
        <f t="shared" si="15"/>
        <v>34.713333333333331</v>
      </c>
    </row>
    <row r="227" spans="1:13" x14ac:dyDescent="0.25">
      <c r="A227" s="2">
        <v>45584</v>
      </c>
      <c r="B227" t="s">
        <v>23</v>
      </c>
      <c r="C227" t="s">
        <v>10</v>
      </c>
      <c r="D227" t="s">
        <v>29</v>
      </c>
      <c r="E227">
        <v>24409</v>
      </c>
      <c r="F227">
        <v>695</v>
      </c>
      <c r="G227">
        <v>706.84</v>
      </c>
      <c r="H227">
        <v>21</v>
      </c>
      <c r="I227">
        <v>2181.0100000000002</v>
      </c>
      <c r="J227" s="3">
        <f t="shared" si="12"/>
        <v>3.0215827338129495</v>
      </c>
      <c r="K227" s="3">
        <f t="shared" si="13"/>
        <v>33.65904761904762</v>
      </c>
      <c r="L227" s="3">
        <f t="shared" si="14"/>
        <v>3.0855780657574559</v>
      </c>
      <c r="M227" s="3">
        <f t="shared" si="15"/>
        <v>103.85761904761905</v>
      </c>
    </row>
    <row r="228" spans="1:13" x14ac:dyDescent="0.25">
      <c r="A228" s="2">
        <v>45584</v>
      </c>
      <c r="B228" t="s">
        <v>23</v>
      </c>
      <c r="C228" t="s">
        <v>12</v>
      </c>
      <c r="D228" t="s">
        <v>29</v>
      </c>
      <c r="E228">
        <v>59074</v>
      </c>
      <c r="F228">
        <v>2892</v>
      </c>
      <c r="G228">
        <v>4189.16</v>
      </c>
      <c r="H228">
        <v>108</v>
      </c>
      <c r="I228">
        <v>17780.310000000001</v>
      </c>
      <c r="J228" s="3">
        <f t="shared" si="12"/>
        <v>3.7344398340248963</v>
      </c>
      <c r="K228" s="3">
        <f t="shared" si="13"/>
        <v>38.788518518518515</v>
      </c>
      <c r="L228" s="3">
        <f t="shared" si="14"/>
        <v>4.2443616381327045</v>
      </c>
      <c r="M228" s="3">
        <f t="shared" si="15"/>
        <v>164.63250000000002</v>
      </c>
    </row>
    <row r="229" spans="1:13" x14ac:dyDescent="0.25">
      <c r="A229" s="2">
        <v>45584</v>
      </c>
      <c r="B229" t="s">
        <v>23</v>
      </c>
      <c r="C229" t="s">
        <v>14</v>
      </c>
      <c r="D229" t="s">
        <v>29</v>
      </c>
      <c r="E229">
        <v>2646</v>
      </c>
      <c r="F229">
        <v>160</v>
      </c>
      <c r="G229">
        <v>260.86</v>
      </c>
      <c r="H229">
        <v>6</v>
      </c>
      <c r="I229">
        <v>853.74</v>
      </c>
      <c r="J229" s="3">
        <f t="shared" si="12"/>
        <v>3.75</v>
      </c>
      <c r="K229" s="3">
        <f t="shared" si="13"/>
        <v>43.476666666666667</v>
      </c>
      <c r="L229" s="3">
        <f t="shared" si="14"/>
        <v>3.2727900023000842</v>
      </c>
      <c r="M229" s="3">
        <f t="shared" si="15"/>
        <v>142.29</v>
      </c>
    </row>
    <row r="230" spans="1:13" x14ac:dyDescent="0.25">
      <c r="A230" s="2">
        <v>45585</v>
      </c>
      <c r="B230" t="s">
        <v>9</v>
      </c>
      <c r="C230" t="s">
        <v>10</v>
      </c>
      <c r="D230" t="s">
        <v>16</v>
      </c>
      <c r="E230">
        <v>13361</v>
      </c>
      <c r="F230">
        <v>381</v>
      </c>
      <c r="G230">
        <v>693.5</v>
      </c>
      <c r="H230">
        <v>28</v>
      </c>
      <c r="I230">
        <v>1639.91</v>
      </c>
      <c r="J230" s="3">
        <f t="shared" si="12"/>
        <v>7.349081364829396</v>
      </c>
      <c r="K230" s="3">
        <f t="shared" si="13"/>
        <v>24.767857142857142</v>
      </c>
      <c r="L230" s="3">
        <f t="shared" si="14"/>
        <v>2.3646863734679164</v>
      </c>
      <c r="M230" s="3">
        <f t="shared" si="15"/>
        <v>58.568214285714291</v>
      </c>
    </row>
    <row r="231" spans="1:13" x14ac:dyDescent="0.25">
      <c r="A231" s="2">
        <v>45585</v>
      </c>
      <c r="B231" t="s">
        <v>9</v>
      </c>
      <c r="C231" t="s">
        <v>12</v>
      </c>
      <c r="D231" t="s">
        <v>11</v>
      </c>
      <c r="E231">
        <v>45921</v>
      </c>
      <c r="F231">
        <v>2412</v>
      </c>
      <c r="G231">
        <v>2775.63</v>
      </c>
      <c r="H231">
        <v>154</v>
      </c>
      <c r="I231">
        <v>3777.49</v>
      </c>
      <c r="J231" s="3">
        <f t="shared" si="12"/>
        <v>6.384742951907131</v>
      </c>
      <c r="K231" s="3">
        <f t="shared" si="13"/>
        <v>18.023571428571429</v>
      </c>
      <c r="L231" s="3">
        <f t="shared" si="14"/>
        <v>1.3609486855236468</v>
      </c>
      <c r="M231" s="3">
        <f t="shared" si="15"/>
        <v>24.529155844155841</v>
      </c>
    </row>
    <row r="232" spans="1:13" x14ac:dyDescent="0.25">
      <c r="A232" s="2">
        <v>45585</v>
      </c>
      <c r="B232" t="s">
        <v>9</v>
      </c>
      <c r="C232" t="s">
        <v>14</v>
      </c>
      <c r="D232" t="s">
        <v>16</v>
      </c>
      <c r="E232">
        <v>7036</v>
      </c>
      <c r="F232">
        <v>161</v>
      </c>
      <c r="G232">
        <v>146.09</v>
      </c>
      <c r="H232">
        <v>2</v>
      </c>
      <c r="I232">
        <v>216.97</v>
      </c>
      <c r="J232" s="3">
        <f t="shared" si="12"/>
        <v>1.2422360248447204</v>
      </c>
      <c r="K232" s="3">
        <f t="shared" si="13"/>
        <v>73.045000000000002</v>
      </c>
      <c r="L232" s="3">
        <f t="shared" si="14"/>
        <v>1.4851803682661373</v>
      </c>
      <c r="M232" s="3">
        <f t="shared" si="15"/>
        <v>108.485</v>
      </c>
    </row>
    <row r="233" spans="1:13" x14ac:dyDescent="0.25">
      <c r="A233" s="2">
        <v>45585</v>
      </c>
      <c r="B233" t="s">
        <v>15</v>
      </c>
      <c r="C233" t="s">
        <v>10</v>
      </c>
      <c r="D233" t="s">
        <v>17</v>
      </c>
      <c r="E233">
        <v>21904</v>
      </c>
      <c r="F233">
        <v>825</v>
      </c>
      <c r="G233">
        <v>1261.32</v>
      </c>
      <c r="H233">
        <v>53</v>
      </c>
      <c r="I233">
        <v>2280.4</v>
      </c>
      <c r="J233" s="3">
        <f t="shared" si="12"/>
        <v>6.4242424242424239</v>
      </c>
      <c r="K233" s="3">
        <f t="shared" si="13"/>
        <v>23.798490566037735</v>
      </c>
      <c r="L233" s="3">
        <f t="shared" si="14"/>
        <v>1.8079472298861512</v>
      </c>
      <c r="M233" s="3">
        <f t="shared" si="15"/>
        <v>43.026415094339626</v>
      </c>
    </row>
    <row r="234" spans="1:13" x14ac:dyDescent="0.25">
      <c r="A234" s="2">
        <v>45585</v>
      </c>
      <c r="B234" t="s">
        <v>15</v>
      </c>
      <c r="C234" t="s">
        <v>12</v>
      </c>
      <c r="D234" t="s">
        <v>18</v>
      </c>
      <c r="E234">
        <v>44357</v>
      </c>
      <c r="F234">
        <v>2738</v>
      </c>
      <c r="G234">
        <v>3430.29</v>
      </c>
      <c r="H234">
        <v>240</v>
      </c>
      <c r="I234">
        <v>9827.98</v>
      </c>
      <c r="J234" s="3">
        <f t="shared" si="12"/>
        <v>8.7655222790357925</v>
      </c>
      <c r="K234" s="3">
        <f t="shared" si="13"/>
        <v>14.292875</v>
      </c>
      <c r="L234" s="3">
        <f t="shared" si="14"/>
        <v>2.865058056315938</v>
      </c>
      <c r="M234" s="3">
        <f t="shared" si="15"/>
        <v>40.949916666666667</v>
      </c>
    </row>
    <row r="235" spans="1:13" x14ac:dyDescent="0.25">
      <c r="A235" s="2">
        <v>45585</v>
      </c>
      <c r="B235" t="s">
        <v>15</v>
      </c>
      <c r="C235" t="s">
        <v>14</v>
      </c>
      <c r="D235" t="s">
        <v>16</v>
      </c>
      <c r="E235">
        <v>2550</v>
      </c>
      <c r="F235">
        <v>110</v>
      </c>
      <c r="G235">
        <v>322.48</v>
      </c>
      <c r="H235">
        <v>12</v>
      </c>
      <c r="I235">
        <v>830.76</v>
      </c>
      <c r="J235" s="3">
        <f t="shared" si="12"/>
        <v>10.909090909090908</v>
      </c>
      <c r="K235" s="3">
        <f t="shared" si="13"/>
        <v>26.873333333333335</v>
      </c>
      <c r="L235" s="3">
        <f t="shared" si="14"/>
        <v>2.5761597618456955</v>
      </c>
      <c r="M235" s="3">
        <f t="shared" si="15"/>
        <v>69.23</v>
      </c>
    </row>
    <row r="236" spans="1:13" x14ac:dyDescent="0.25">
      <c r="A236" s="2">
        <v>45585</v>
      </c>
      <c r="B236" t="s">
        <v>19</v>
      </c>
      <c r="C236" t="s">
        <v>10</v>
      </c>
      <c r="D236" t="s">
        <v>21</v>
      </c>
      <c r="E236">
        <v>29827</v>
      </c>
      <c r="F236">
        <v>457</v>
      </c>
      <c r="G236">
        <v>1114.8699999999999</v>
      </c>
      <c r="H236">
        <v>33</v>
      </c>
      <c r="I236">
        <v>2913.88</v>
      </c>
      <c r="J236" s="3">
        <f t="shared" si="12"/>
        <v>7.2210065645514225</v>
      </c>
      <c r="K236" s="3">
        <f t="shared" si="13"/>
        <v>33.783939393939391</v>
      </c>
      <c r="L236" s="3">
        <f t="shared" si="14"/>
        <v>2.6136500219756567</v>
      </c>
      <c r="M236" s="3">
        <f t="shared" si="15"/>
        <v>88.299393939393937</v>
      </c>
    </row>
    <row r="237" spans="1:13" x14ac:dyDescent="0.25">
      <c r="A237" s="2">
        <v>45585</v>
      </c>
      <c r="B237" t="s">
        <v>19</v>
      </c>
      <c r="C237" t="s">
        <v>12</v>
      </c>
      <c r="D237" t="s">
        <v>21</v>
      </c>
      <c r="E237">
        <v>44023</v>
      </c>
      <c r="F237">
        <v>2084</v>
      </c>
      <c r="G237">
        <v>2467.8000000000002</v>
      </c>
      <c r="H237">
        <v>120</v>
      </c>
      <c r="I237">
        <v>9052.7099999999991</v>
      </c>
      <c r="J237" s="3">
        <f t="shared" si="12"/>
        <v>5.7581573896353166</v>
      </c>
      <c r="K237" s="3">
        <f t="shared" si="13"/>
        <v>20.565000000000001</v>
      </c>
      <c r="L237" s="3">
        <f t="shared" si="14"/>
        <v>3.668332117675662</v>
      </c>
      <c r="M237" s="3">
        <f t="shared" si="15"/>
        <v>75.439249999999987</v>
      </c>
    </row>
    <row r="238" spans="1:13" x14ac:dyDescent="0.25">
      <c r="A238" s="2">
        <v>45585</v>
      </c>
      <c r="B238" t="s">
        <v>19</v>
      </c>
      <c r="C238" t="s">
        <v>14</v>
      </c>
      <c r="D238" t="s">
        <v>20</v>
      </c>
      <c r="E238">
        <v>2929</v>
      </c>
      <c r="F238">
        <v>56</v>
      </c>
      <c r="G238">
        <v>307.49</v>
      </c>
      <c r="H238">
        <v>16</v>
      </c>
      <c r="I238">
        <v>973.95</v>
      </c>
      <c r="J238" s="3">
        <f t="shared" si="12"/>
        <v>28.571428571428569</v>
      </c>
      <c r="K238" s="3">
        <f t="shared" si="13"/>
        <v>19.218125000000001</v>
      </c>
      <c r="L238" s="3">
        <f t="shared" si="14"/>
        <v>3.1674200787017464</v>
      </c>
      <c r="M238" s="3">
        <f t="shared" si="15"/>
        <v>60.871875000000003</v>
      </c>
    </row>
    <row r="239" spans="1:13" x14ac:dyDescent="0.25">
      <c r="A239" s="2">
        <v>45585</v>
      </c>
      <c r="B239" t="s">
        <v>23</v>
      </c>
      <c r="C239" t="s">
        <v>10</v>
      </c>
      <c r="D239" t="s">
        <v>28</v>
      </c>
      <c r="E239">
        <v>18577</v>
      </c>
      <c r="F239">
        <v>566</v>
      </c>
      <c r="G239">
        <v>1144.8499999999999</v>
      </c>
      <c r="H239">
        <v>23</v>
      </c>
      <c r="I239">
        <v>5708.44</v>
      </c>
      <c r="J239" s="3">
        <f t="shared" si="12"/>
        <v>4.0636042402826851</v>
      </c>
      <c r="K239" s="3">
        <f t="shared" si="13"/>
        <v>49.776086956521738</v>
      </c>
      <c r="L239" s="3">
        <f t="shared" si="14"/>
        <v>4.9861903306109969</v>
      </c>
      <c r="M239" s="3">
        <f t="shared" si="15"/>
        <v>248.19304347826085</v>
      </c>
    </row>
    <row r="240" spans="1:13" x14ac:dyDescent="0.25">
      <c r="A240" s="2">
        <v>45585</v>
      </c>
      <c r="B240" t="s">
        <v>23</v>
      </c>
      <c r="C240" t="s">
        <v>12</v>
      </c>
      <c r="D240" t="s">
        <v>24</v>
      </c>
      <c r="E240">
        <v>67191</v>
      </c>
      <c r="F240">
        <v>1409</v>
      </c>
      <c r="G240">
        <v>1490.55</v>
      </c>
      <c r="H240">
        <v>58</v>
      </c>
      <c r="I240">
        <v>4349.07</v>
      </c>
      <c r="J240" s="3">
        <f t="shared" si="12"/>
        <v>4.1163946061036194</v>
      </c>
      <c r="K240" s="3">
        <f t="shared" si="13"/>
        <v>25.699137931034482</v>
      </c>
      <c r="L240" s="3">
        <f t="shared" si="14"/>
        <v>2.9177618999698098</v>
      </c>
      <c r="M240" s="3">
        <f t="shared" si="15"/>
        <v>74.983965517241373</v>
      </c>
    </row>
    <row r="241" spans="1:13" x14ac:dyDescent="0.25">
      <c r="A241" s="2">
        <v>45585</v>
      </c>
      <c r="B241" t="s">
        <v>23</v>
      </c>
      <c r="C241" t="s">
        <v>14</v>
      </c>
      <c r="D241" t="s">
        <v>29</v>
      </c>
      <c r="E241">
        <v>2719</v>
      </c>
      <c r="F241">
        <v>224</v>
      </c>
      <c r="G241">
        <v>388.65</v>
      </c>
      <c r="H241">
        <v>11</v>
      </c>
      <c r="I241">
        <v>1452.69</v>
      </c>
      <c r="J241" s="3">
        <f t="shared" si="12"/>
        <v>4.9107142857142856</v>
      </c>
      <c r="K241" s="3">
        <f t="shared" si="13"/>
        <v>35.331818181818178</v>
      </c>
      <c r="L241" s="3">
        <f t="shared" si="14"/>
        <v>3.7377846391354694</v>
      </c>
      <c r="M241" s="3">
        <f t="shared" si="15"/>
        <v>132.06272727272727</v>
      </c>
    </row>
    <row r="242" spans="1:13" x14ac:dyDescent="0.25">
      <c r="A242" s="2">
        <v>45586</v>
      </c>
      <c r="B242" t="s">
        <v>9</v>
      </c>
      <c r="C242" t="s">
        <v>10</v>
      </c>
      <c r="D242" t="s">
        <v>13</v>
      </c>
      <c r="E242">
        <v>28022</v>
      </c>
      <c r="F242">
        <v>855</v>
      </c>
      <c r="G242">
        <v>648.42999999999995</v>
      </c>
      <c r="H242">
        <v>29</v>
      </c>
      <c r="I242">
        <v>2875.9</v>
      </c>
      <c r="J242" s="3">
        <f t="shared" si="12"/>
        <v>3.3918128654970756</v>
      </c>
      <c r="K242" s="3">
        <f t="shared" si="13"/>
        <v>22.359655172413792</v>
      </c>
      <c r="L242" s="3">
        <f t="shared" si="14"/>
        <v>4.4351741899665349</v>
      </c>
      <c r="M242" s="3">
        <f t="shared" si="15"/>
        <v>99.168965517241389</v>
      </c>
    </row>
    <row r="243" spans="1:13" x14ac:dyDescent="0.25">
      <c r="A243" s="2">
        <v>45586</v>
      </c>
      <c r="B243" t="s">
        <v>9</v>
      </c>
      <c r="C243" t="s">
        <v>12</v>
      </c>
      <c r="D243" t="s">
        <v>26</v>
      </c>
      <c r="E243">
        <v>58690</v>
      </c>
      <c r="F243">
        <v>2041</v>
      </c>
      <c r="G243">
        <v>1896.97</v>
      </c>
      <c r="H243">
        <v>91</v>
      </c>
      <c r="I243">
        <v>7985.96</v>
      </c>
      <c r="J243" s="3">
        <f t="shared" si="12"/>
        <v>4.4585987261146496</v>
      </c>
      <c r="K243" s="3">
        <f t="shared" si="13"/>
        <v>20.845824175824177</v>
      </c>
      <c r="L243" s="3">
        <f t="shared" si="14"/>
        <v>4.2098504457107913</v>
      </c>
      <c r="M243" s="3">
        <f t="shared" si="15"/>
        <v>87.757802197802192</v>
      </c>
    </row>
    <row r="244" spans="1:13" x14ac:dyDescent="0.25">
      <c r="A244" s="2">
        <v>45586</v>
      </c>
      <c r="B244" t="s">
        <v>9</v>
      </c>
      <c r="C244" t="s">
        <v>14</v>
      </c>
      <c r="D244" t="s">
        <v>26</v>
      </c>
      <c r="E244">
        <v>6047</v>
      </c>
      <c r="F244">
        <v>56</v>
      </c>
      <c r="G244">
        <v>176.31</v>
      </c>
      <c r="H244">
        <v>19</v>
      </c>
      <c r="I244">
        <v>458.73</v>
      </c>
      <c r="J244" s="3">
        <f t="shared" si="12"/>
        <v>33.928571428571431</v>
      </c>
      <c r="K244" s="3">
        <f t="shared" si="13"/>
        <v>9.2794736842105259</v>
      </c>
      <c r="L244" s="3">
        <f t="shared" si="14"/>
        <v>2.6018376722817766</v>
      </c>
      <c r="M244" s="3">
        <f t="shared" si="15"/>
        <v>24.143684210526317</v>
      </c>
    </row>
    <row r="245" spans="1:13" x14ac:dyDescent="0.25">
      <c r="A245" s="2">
        <v>45586</v>
      </c>
      <c r="B245" t="s">
        <v>15</v>
      </c>
      <c r="C245" t="s">
        <v>10</v>
      </c>
      <c r="D245" t="s">
        <v>16</v>
      </c>
      <c r="E245">
        <v>12825</v>
      </c>
      <c r="F245">
        <v>367</v>
      </c>
      <c r="G245">
        <v>671.15</v>
      </c>
      <c r="H245">
        <v>55</v>
      </c>
      <c r="I245">
        <v>2638.76</v>
      </c>
      <c r="J245" s="3">
        <f t="shared" si="12"/>
        <v>14.986376021798364</v>
      </c>
      <c r="K245" s="3">
        <f t="shared" si="13"/>
        <v>12.202727272727273</v>
      </c>
      <c r="L245" s="3">
        <f t="shared" si="14"/>
        <v>3.9316993220591527</v>
      </c>
      <c r="M245" s="3">
        <f t="shared" si="15"/>
        <v>47.977454545454549</v>
      </c>
    </row>
    <row r="246" spans="1:13" x14ac:dyDescent="0.25">
      <c r="A246" s="2">
        <v>45586</v>
      </c>
      <c r="B246" t="s">
        <v>15</v>
      </c>
      <c r="C246" t="s">
        <v>12</v>
      </c>
      <c r="D246" t="s">
        <v>17</v>
      </c>
      <c r="E246">
        <v>61832</v>
      </c>
      <c r="F246">
        <v>2686</v>
      </c>
      <c r="G246">
        <v>3299.6</v>
      </c>
      <c r="H246">
        <v>72</v>
      </c>
      <c r="I246">
        <v>16151.68</v>
      </c>
      <c r="J246" s="3">
        <f t="shared" si="12"/>
        <v>2.680565897244974</v>
      </c>
      <c r="K246" s="3">
        <f t="shared" si="13"/>
        <v>45.827777777777776</v>
      </c>
      <c r="L246" s="3">
        <f t="shared" si="14"/>
        <v>4.8950418232513035</v>
      </c>
      <c r="M246" s="3">
        <f t="shared" si="15"/>
        <v>224.32888888888888</v>
      </c>
    </row>
    <row r="247" spans="1:13" x14ac:dyDescent="0.25">
      <c r="A247" s="2">
        <v>45586</v>
      </c>
      <c r="B247" t="s">
        <v>15</v>
      </c>
      <c r="C247" t="s">
        <v>14</v>
      </c>
      <c r="D247" t="s">
        <v>18</v>
      </c>
      <c r="E247">
        <v>5686</v>
      </c>
      <c r="F247">
        <v>169</v>
      </c>
      <c r="G247">
        <v>288.04000000000002</v>
      </c>
      <c r="H247">
        <v>12</v>
      </c>
      <c r="I247">
        <v>486.12</v>
      </c>
      <c r="J247" s="3">
        <f t="shared" si="12"/>
        <v>7.1005917159763312</v>
      </c>
      <c r="K247" s="3">
        <f t="shared" si="13"/>
        <v>24.003333333333334</v>
      </c>
      <c r="L247" s="3">
        <f t="shared" si="14"/>
        <v>1.6876822663518956</v>
      </c>
      <c r="M247" s="3">
        <f t="shared" si="15"/>
        <v>40.51</v>
      </c>
    </row>
    <row r="248" spans="1:13" x14ac:dyDescent="0.25">
      <c r="A248" s="2">
        <v>45586</v>
      </c>
      <c r="B248" t="s">
        <v>19</v>
      </c>
      <c r="C248" t="s">
        <v>10</v>
      </c>
      <c r="D248" t="s">
        <v>20</v>
      </c>
      <c r="E248">
        <v>14228</v>
      </c>
      <c r="F248">
        <v>743</v>
      </c>
      <c r="G248">
        <v>903.44</v>
      </c>
      <c r="H248">
        <v>13</v>
      </c>
      <c r="I248">
        <v>3938.35</v>
      </c>
      <c r="J248" s="3">
        <f t="shared" si="12"/>
        <v>1.7496635262449527</v>
      </c>
      <c r="K248" s="3">
        <f t="shared" si="13"/>
        <v>69.495384615384623</v>
      </c>
      <c r="L248" s="3">
        <f t="shared" si="14"/>
        <v>4.3592822987691484</v>
      </c>
      <c r="M248" s="3">
        <f t="shared" si="15"/>
        <v>302.95</v>
      </c>
    </row>
    <row r="249" spans="1:13" x14ac:dyDescent="0.25">
      <c r="A249" s="2">
        <v>45586</v>
      </c>
      <c r="B249" t="s">
        <v>19</v>
      </c>
      <c r="C249" t="s">
        <v>12</v>
      </c>
      <c r="D249" t="s">
        <v>20</v>
      </c>
      <c r="E249">
        <v>54931</v>
      </c>
      <c r="F249">
        <v>1337</v>
      </c>
      <c r="G249">
        <v>1647.87</v>
      </c>
      <c r="H249">
        <v>221</v>
      </c>
      <c r="I249">
        <v>3389.32</v>
      </c>
      <c r="J249" s="3">
        <f t="shared" si="12"/>
        <v>16.529543754674645</v>
      </c>
      <c r="K249" s="3">
        <f t="shared" si="13"/>
        <v>7.4564253393665156</v>
      </c>
      <c r="L249" s="3">
        <f t="shared" si="14"/>
        <v>2.0567884602547535</v>
      </c>
      <c r="M249" s="3">
        <f t="shared" si="15"/>
        <v>15.336289592760181</v>
      </c>
    </row>
    <row r="250" spans="1:13" x14ac:dyDescent="0.25">
      <c r="A250" s="2">
        <v>45586</v>
      </c>
      <c r="B250" t="s">
        <v>19</v>
      </c>
      <c r="C250" t="s">
        <v>14</v>
      </c>
      <c r="D250" t="s">
        <v>22</v>
      </c>
      <c r="E250">
        <v>2646</v>
      </c>
      <c r="F250">
        <v>114</v>
      </c>
      <c r="G250">
        <v>118.71</v>
      </c>
      <c r="H250">
        <v>18</v>
      </c>
      <c r="I250">
        <v>266.26</v>
      </c>
      <c r="J250" s="3">
        <f t="shared" si="12"/>
        <v>15.789473684210526</v>
      </c>
      <c r="K250" s="3">
        <f t="shared" si="13"/>
        <v>6.5949999999999998</v>
      </c>
      <c r="L250" s="3">
        <f t="shared" si="14"/>
        <v>2.2429449919973043</v>
      </c>
      <c r="M250" s="3">
        <f t="shared" si="15"/>
        <v>14.792222222222222</v>
      </c>
    </row>
    <row r="251" spans="1:13" x14ac:dyDescent="0.25">
      <c r="A251" s="2">
        <v>45586</v>
      </c>
      <c r="B251" t="s">
        <v>23</v>
      </c>
      <c r="C251" t="s">
        <v>10</v>
      </c>
      <c r="D251" t="s">
        <v>24</v>
      </c>
      <c r="E251">
        <v>27481</v>
      </c>
      <c r="F251">
        <v>395</v>
      </c>
      <c r="G251">
        <v>903.09</v>
      </c>
      <c r="H251">
        <v>20</v>
      </c>
      <c r="I251">
        <v>3114.64</v>
      </c>
      <c r="J251" s="3">
        <f t="shared" si="12"/>
        <v>5.0632911392405067</v>
      </c>
      <c r="K251" s="3">
        <f t="shared" si="13"/>
        <v>45.154499999999999</v>
      </c>
      <c r="L251" s="3">
        <f t="shared" si="14"/>
        <v>3.4488699908093321</v>
      </c>
      <c r="M251" s="3">
        <f t="shared" si="15"/>
        <v>155.732</v>
      </c>
    </row>
    <row r="252" spans="1:13" x14ac:dyDescent="0.25">
      <c r="A252" s="2">
        <v>45586</v>
      </c>
      <c r="B252" t="s">
        <v>23</v>
      </c>
      <c r="C252" t="s">
        <v>12</v>
      </c>
      <c r="D252" t="s">
        <v>25</v>
      </c>
      <c r="E252">
        <v>46219</v>
      </c>
      <c r="F252">
        <v>2349</v>
      </c>
      <c r="G252">
        <v>3497.92</v>
      </c>
      <c r="H252">
        <v>194</v>
      </c>
      <c r="I252">
        <v>8685.18</v>
      </c>
      <c r="J252" s="3">
        <f t="shared" si="12"/>
        <v>8.2588335461898676</v>
      </c>
      <c r="K252" s="3">
        <f t="shared" si="13"/>
        <v>18.030515463917528</v>
      </c>
      <c r="L252" s="3">
        <f t="shared" si="14"/>
        <v>2.4829555850333911</v>
      </c>
      <c r="M252" s="3">
        <f t="shared" si="15"/>
        <v>44.76896907216495</v>
      </c>
    </row>
    <row r="253" spans="1:13" x14ac:dyDescent="0.25">
      <c r="A253" s="2">
        <v>45586</v>
      </c>
      <c r="B253" t="s">
        <v>23</v>
      </c>
      <c r="C253" t="s">
        <v>14</v>
      </c>
      <c r="D253" t="s">
        <v>28</v>
      </c>
      <c r="E253">
        <v>2232</v>
      </c>
      <c r="F253">
        <v>70</v>
      </c>
      <c r="G253">
        <v>65.91</v>
      </c>
      <c r="H253">
        <v>19</v>
      </c>
      <c r="I253">
        <v>145.38</v>
      </c>
      <c r="J253" s="3">
        <f t="shared" si="12"/>
        <v>27.142857142857142</v>
      </c>
      <c r="K253" s="3">
        <f t="shared" si="13"/>
        <v>3.4689473684210523</v>
      </c>
      <c r="L253" s="3">
        <f t="shared" si="14"/>
        <v>2.205735093309058</v>
      </c>
      <c r="M253" s="3">
        <f t="shared" si="15"/>
        <v>7.6515789473684208</v>
      </c>
    </row>
    <row r="254" spans="1:13" x14ac:dyDescent="0.25">
      <c r="A254" s="2">
        <v>45587</v>
      </c>
      <c r="B254" t="s">
        <v>9</v>
      </c>
      <c r="C254" t="s">
        <v>10</v>
      </c>
      <c r="D254" t="s">
        <v>26</v>
      </c>
      <c r="E254">
        <v>28747</v>
      </c>
      <c r="F254">
        <v>726</v>
      </c>
      <c r="G254">
        <v>1041.73</v>
      </c>
      <c r="H254">
        <v>11</v>
      </c>
      <c r="I254">
        <v>3221.6</v>
      </c>
      <c r="J254" s="3">
        <f t="shared" si="12"/>
        <v>1.5151515151515151</v>
      </c>
      <c r="K254" s="3">
        <f t="shared" si="13"/>
        <v>94.702727272727273</v>
      </c>
      <c r="L254" s="3">
        <f t="shared" si="14"/>
        <v>3.0925479730832364</v>
      </c>
      <c r="M254" s="3">
        <f t="shared" si="15"/>
        <v>292.87272727272727</v>
      </c>
    </row>
    <row r="255" spans="1:13" x14ac:dyDescent="0.25">
      <c r="A255" s="2">
        <v>45587</v>
      </c>
      <c r="B255" t="s">
        <v>9</v>
      </c>
      <c r="C255" t="s">
        <v>12</v>
      </c>
      <c r="D255" t="s">
        <v>16</v>
      </c>
      <c r="E255">
        <v>54798</v>
      </c>
      <c r="F255">
        <v>1989</v>
      </c>
      <c r="G255">
        <v>1979.51</v>
      </c>
      <c r="H255">
        <v>246</v>
      </c>
      <c r="I255">
        <v>7528.01</v>
      </c>
      <c r="J255" s="3">
        <f t="shared" si="12"/>
        <v>12.368024132730016</v>
      </c>
      <c r="K255" s="3">
        <f t="shared" si="13"/>
        <v>8.0467886178861789</v>
      </c>
      <c r="L255" s="3">
        <f t="shared" si="14"/>
        <v>3.8029663906724394</v>
      </c>
      <c r="M255" s="3">
        <f t="shared" si="15"/>
        <v>30.601666666666667</v>
      </c>
    </row>
    <row r="256" spans="1:13" x14ac:dyDescent="0.25">
      <c r="A256" s="2">
        <v>45587</v>
      </c>
      <c r="B256" t="s">
        <v>9</v>
      </c>
      <c r="C256" t="s">
        <v>14</v>
      </c>
      <c r="D256" t="s">
        <v>16</v>
      </c>
      <c r="E256">
        <v>5715</v>
      </c>
      <c r="F256">
        <v>68</v>
      </c>
      <c r="G256">
        <v>291.01</v>
      </c>
      <c r="H256">
        <v>6</v>
      </c>
      <c r="I256">
        <v>835.34</v>
      </c>
      <c r="J256" s="3">
        <f t="shared" si="12"/>
        <v>8.8235294117647065</v>
      </c>
      <c r="K256" s="3">
        <f t="shared" si="13"/>
        <v>48.501666666666665</v>
      </c>
      <c r="L256" s="3">
        <f t="shared" si="14"/>
        <v>2.8704855503247315</v>
      </c>
      <c r="M256" s="3">
        <f t="shared" si="15"/>
        <v>139.22333333333333</v>
      </c>
    </row>
    <row r="257" spans="1:13" x14ac:dyDescent="0.25">
      <c r="A257" s="2">
        <v>45587</v>
      </c>
      <c r="B257" t="s">
        <v>15</v>
      </c>
      <c r="C257" t="s">
        <v>10</v>
      </c>
      <c r="D257" t="s">
        <v>17</v>
      </c>
      <c r="E257">
        <v>25218</v>
      </c>
      <c r="F257">
        <v>508</v>
      </c>
      <c r="G257">
        <v>708.23</v>
      </c>
      <c r="H257">
        <v>19</v>
      </c>
      <c r="I257">
        <v>1691.12</v>
      </c>
      <c r="J257" s="3">
        <f t="shared" si="12"/>
        <v>3.7401574803149611</v>
      </c>
      <c r="K257" s="3">
        <f t="shared" si="13"/>
        <v>37.275263157894734</v>
      </c>
      <c r="L257" s="3">
        <f t="shared" si="14"/>
        <v>2.3878118690255987</v>
      </c>
      <c r="M257" s="3">
        <f t="shared" si="15"/>
        <v>89.006315789473675</v>
      </c>
    </row>
    <row r="258" spans="1:13" x14ac:dyDescent="0.25">
      <c r="A258" s="2">
        <v>45587</v>
      </c>
      <c r="B258" t="s">
        <v>15</v>
      </c>
      <c r="C258" t="s">
        <v>12</v>
      </c>
      <c r="D258" t="s">
        <v>27</v>
      </c>
      <c r="E258">
        <v>57634</v>
      </c>
      <c r="F258">
        <v>2997</v>
      </c>
      <c r="G258">
        <v>2594.87</v>
      </c>
      <c r="H258">
        <v>234</v>
      </c>
      <c r="I258">
        <v>6767.56</v>
      </c>
      <c r="J258" s="3">
        <f t="shared" si="12"/>
        <v>7.8078078078078077</v>
      </c>
      <c r="K258" s="3">
        <f t="shared" si="13"/>
        <v>11.089188034188034</v>
      </c>
      <c r="L258" s="3">
        <f t="shared" si="14"/>
        <v>2.6080535826457591</v>
      </c>
      <c r="M258" s="3">
        <f t="shared" si="15"/>
        <v>28.921196581196583</v>
      </c>
    </row>
    <row r="259" spans="1:13" x14ac:dyDescent="0.25">
      <c r="A259" s="2">
        <v>45587</v>
      </c>
      <c r="B259" t="s">
        <v>15</v>
      </c>
      <c r="C259" t="s">
        <v>14</v>
      </c>
      <c r="D259" t="s">
        <v>18</v>
      </c>
      <c r="E259">
        <v>4614</v>
      </c>
      <c r="F259">
        <v>111</v>
      </c>
      <c r="G259">
        <v>213.27</v>
      </c>
      <c r="H259">
        <v>9</v>
      </c>
      <c r="I259">
        <v>620.29</v>
      </c>
      <c r="J259" s="3">
        <f t="shared" ref="J259:J322" si="16">(H259/F259) * 100</f>
        <v>8.1081081081081088</v>
      </c>
      <c r="K259" s="3">
        <f t="shared" ref="K259:K322" si="17" xml:space="preserve"> G259/H259</f>
        <v>23.696666666666669</v>
      </c>
      <c r="L259" s="3">
        <f t="shared" ref="L259:L322" si="18">I259/G259</f>
        <v>2.9084728278707739</v>
      </c>
      <c r="M259" s="3">
        <f t="shared" ref="M259:M322" si="19">I259/H259</f>
        <v>68.921111111111102</v>
      </c>
    </row>
    <row r="260" spans="1:13" x14ac:dyDescent="0.25">
      <c r="A260" s="2">
        <v>45587</v>
      </c>
      <c r="B260" t="s">
        <v>19</v>
      </c>
      <c r="C260" t="s">
        <v>10</v>
      </c>
      <c r="D260" t="s">
        <v>20</v>
      </c>
      <c r="E260">
        <v>13172</v>
      </c>
      <c r="F260">
        <v>351</v>
      </c>
      <c r="G260">
        <v>648.25</v>
      </c>
      <c r="H260">
        <v>34</v>
      </c>
      <c r="I260">
        <v>2906.64</v>
      </c>
      <c r="J260" s="3">
        <f t="shared" si="16"/>
        <v>9.6866096866096854</v>
      </c>
      <c r="K260" s="3">
        <f t="shared" si="17"/>
        <v>19.066176470588236</v>
      </c>
      <c r="L260" s="3">
        <f t="shared" si="18"/>
        <v>4.4838256845352875</v>
      </c>
      <c r="M260" s="3">
        <f t="shared" si="19"/>
        <v>85.489411764705878</v>
      </c>
    </row>
    <row r="261" spans="1:13" x14ac:dyDescent="0.25">
      <c r="A261" s="2">
        <v>45587</v>
      </c>
      <c r="B261" t="s">
        <v>19</v>
      </c>
      <c r="C261" t="s">
        <v>12</v>
      </c>
      <c r="D261" t="s">
        <v>26</v>
      </c>
      <c r="E261">
        <v>51270</v>
      </c>
      <c r="F261">
        <v>2971</v>
      </c>
      <c r="G261">
        <v>4461.2299999999996</v>
      </c>
      <c r="H261">
        <v>80</v>
      </c>
      <c r="I261">
        <v>19144.099999999999</v>
      </c>
      <c r="J261" s="3">
        <f t="shared" si="16"/>
        <v>2.6926960619320095</v>
      </c>
      <c r="K261" s="3">
        <f t="shared" si="17"/>
        <v>55.765374999999992</v>
      </c>
      <c r="L261" s="3">
        <f t="shared" si="18"/>
        <v>4.2912156512889945</v>
      </c>
      <c r="M261" s="3">
        <f t="shared" si="19"/>
        <v>239.30124999999998</v>
      </c>
    </row>
    <row r="262" spans="1:13" x14ac:dyDescent="0.25">
      <c r="A262" s="2">
        <v>45587</v>
      </c>
      <c r="B262" t="s">
        <v>19</v>
      </c>
      <c r="C262" t="s">
        <v>14</v>
      </c>
      <c r="D262" t="s">
        <v>22</v>
      </c>
      <c r="E262">
        <v>3555</v>
      </c>
      <c r="F262">
        <v>245</v>
      </c>
      <c r="G262">
        <v>105.77</v>
      </c>
      <c r="H262">
        <v>17</v>
      </c>
      <c r="I262">
        <v>314.55</v>
      </c>
      <c r="J262" s="3">
        <f t="shared" si="16"/>
        <v>6.9387755102040813</v>
      </c>
      <c r="K262" s="3">
        <f t="shared" si="17"/>
        <v>6.2217647058823529</v>
      </c>
      <c r="L262" s="3">
        <f t="shared" si="18"/>
        <v>2.9739056443225871</v>
      </c>
      <c r="M262" s="3">
        <f t="shared" si="19"/>
        <v>18.502941176470589</v>
      </c>
    </row>
    <row r="263" spans="1:13" x14ac:dyDescent="0.25">
      <c r="A263" s="2">
        <v>45587</v>
      </c>
      <c r="B263" t="s">
        <v>23</v>
      </c>
      <c r="C263" t="s">
        <v>10</v>
      </c>
      <c r="D263" t="s">
        <v>24</v>
      </c>
      <c r="E263">
        <v>26297</v>
      </c>
      <c r="F263">
        <v>323</v>
      </c>
      <c r="G263">
        <v>408.06</v>
      </c>
      <c r="H263">
        <v>35</v>
      </c>
      <c r="I263">
        <v>1273.43</v>
      </c>
      <c r="J263" s="3">
        <f t="shared" si="16"/>
        <v>10.835913312693499</v>
      </c>
      <c r="K263" s="3">
        <f t="shared" si="17"/>
        <v>11.658857142857142</v>
      </c>
      <c r="L263" s="3">
        <f t="shared" si="18"/>
        <v>3.1206930353379407</v>
      </c>
      <c r="M263" s="3">
        <f t="shared" si="19"/>
        <v>36.383714285714291</v>
      </c>
    </row>
    <row r="264" spans="1:13" x14ac:dyDescent="0.25">
      <c r="A264" s="2">
        <v>45587</v>
      </c>
      <c r="B264" t="s">
        <v>23</v>
      </c>
      <c r="C264" t="s">
        <v>12</v>
      </c>
      <c r="D264" t="s">
        <v>25</v>
      </c>
      <c r="E264">
        <v>49099</v>
      </c>
      <c r="F264">
        <v>2194</v>
      </c>
      <c r="G264">
        <v>2411.58</v>
      </c>
      <c r="H264">
        <v>52</v>
      </c>
      <c r="I264">
        <v>5472.25</v>
      </c>
      <c r="J264" s="3">
        <f t="shared" si="16"/>
        <v>2.3701002734731085</v>
      </c>
      <c r="K264" s="3">
        <f t="shared" si="17"/>
        <v>46.376538461538459</v>
      </c>
      <c r="L264" s="3">
        <f t="shared" si="18"/>
        <v>2.2691554914205625</v>
      </c>
      <c r="M264" s="3">
        <f t="shared" si="19"/>
        <v>105.23557692307692</v>
      </c>
    </row>
    <row r="265" spans="1:13" x14ac:dyDescent="0.25">
      <c r="A265" s="2">
        <v>45587</v>
      </c>
      <c r="B265" t="s">
        <v>23</v>
      </c>
      <c r="C265" t="s">
        <v>14</v>
      </c>
      <c r="D265" t="s">
        <v>29</v>
      </c>
      <c r="E265">
        <v>4340</v>
      </c>
      <c r="F265">
        <v>187</v>
      </c>
      <c r="G265">
        <v>52.86</v>
      </c>
      <c r="H265">
        <v>4</v>
      </c>
      <c r="I265">
        <v>149.99</v>
      </c>
      <c r="J265" s="3">
        <f t="shared" si="16"/>
        <v>2.1390374331550799</v>
      </c>
      <c r="K265" s="3">
        <f t="shared" si="17"/>
        <v>13.215</v>
      </c>
      <c r="L265" s="3">
        <f t="shared" si="18"/>
        <v>2.8374952705259178</v>
      </c>
      <c r="M265" s="3">
        <f t="shared" si="19"/>
        <v>37.497500000000002</v>
      </c>
    </row>
    <row r="266" spans="1:13" x14ac:dyDescent="0.25">
      <c r="A266" s="2">
        <v>45588</v>
      </c>
      <c r="B266" t="s">
        <v>9</v>
      </c>
      <c r="C266" t="s">
        <v>10</v>
      </c>
      <c r="D266" t="s">
        <v>16</v>
      </c>
      <c r="E266">
        <v>21985</v>
      </c>
      <c r="F266">
        <v>712</v>
      </c>
      <c r="G266">
        <v>739.12</v>
      </c>
      <c r="H266">
        <v>35</v>
      </c>
      <c r="I266">
        <v>1030.6300000000001</v>
      </c>
      <c r="J266" s="3">
        <f t="shared" si="16"/>
        <v>4.915730337078652</v>
      </c>
      <c r="K266" s="3">
        <f t="shared" si="17"/>
        <v>21.117714285714285</v>
      </c>
      <c r="L266" s="3">
        <f t="shared" si="18"/>
        <v>1.3944014503734172</v>
      </c>
      <c r="M266" s="3">
        <f t="shared" si="19"/>
        <v>29.446571428571431</v>
      </c>
    </row>
    <row r="267" spans="1:13" x14ac:dyDescent="0.25">
      <c r="A267" s="2">
        <v>45588</v>
      </c>
      <c r="B267" t="s">
        <v>9</v>
      </c>
      <c r="C267" t="s">
        <v>12</v>
      </c>
      <c r="D267" t="s">
        <v>26</v>
      </c>
      <c r="E267">
        <v>58758</v>
      </c>
      <c r="F267">
        <v>2133</v>
      </c>
      <c r="G267">
        <v>2154.41</v>
      </c>
      <c r="H267">
        <v>138</v>
      </c>
      <c r="I267">
        <v>6713.51</v>
      </c>
      <c r="J267" s="3">
        <f t="shared" si="16"/>
        <v>6.4697609001406473</v>
      </c>
      <c r="K267" s="3">
        <f t="shared" si="17"/>
        <v>15.611666666666666</v>
      </c>
      <c r="L267" s="3">
        <f t="shared" si="18"/>
        <v>3.1161710166588534</v>
      </c>
      <c r="M267" s="3">
        <f t="shared" si="19"/>
        <v>48.6486231884058</v>
      </c>
    </row>
    <row r="268" spans="1:13" x14ac:dyDescent="0.25">
      <c r="A268" s="2">
        <v>45588</v>
      </c>
      <c r="B268" t="s">
        <v>9</v>
      </c>
      <c r="C268" t="s">
        <v>14</v>
      </c>
      <c r="D268" t="s">
        <v>16</v>
      </c>
      <c r="E268">
        <v>7105</v>
      </c>
      <c r="F268">
        <v>224</v>
      </c>
      <c r="G268">
        <v>263.87</v>
      </c>
      <c r="H268">
        <v>5</v>
      </c>
      <c r="I268">
        <v>1294.3699999999999</v>
      </c>
      <c r="J268" s="3">
        <f t="shared" si="16"/>
        <v>2.2321428571428572</v>
      </c>
      <c r="K268" s="3">
        <f t="shared" si="17"/>
        <v>52.774000000000001</v>
      </c>
      <c r="L268" s="3">
        <f t="shared" si="18"/>
        <v>4.9053321711448818</v>
      </c>
      <c r="M268" s="3">
        <f t="shared" si="19"/>
        <v>258.87399999999997</v>
      </c>
    </row>
    <row r="269" spans="1:13" x14ac:dyDescent="0.25">
      <c r="A269" s="2">
        <v>45588</v>
      </c>
      <c r="B269" t="s">
        <v>15</v>
      </c>
      <c r="C269" t="s">
        <v>10</v>
      </c>
      <c r="D269" t="s">
        <v>17</v>
      </c>
      <c r="E269">
        <v>22228</v>
      </c>
      <c r="F269">
        <v>647</v>
      </c>
      <c r="G269">
        <v>969.4</v>
      </c>
      <c r="H269">
        <v>33</v>
      </c>
      <c r="I269">
        <v>3944.36</v>
      </c>
      <c r="J269" s="3">
        <f t="shared" si="16"/>
        <v>5.1004636785162285</v>
      </c>
      <c r="K269" s="3">
        <f t="shared" si="17"/>
        <v>29.375757575757575</v>
      </c>
      <c r="L269" s="3">
        <f t="shared" si="18"/>
        <v>4.0688673406230658</v>
      </c>
      <c r="M269" s="3">
        <f t="shared" si="19"/>
        <v>119.52606060606061</v>
      </c>
    </row>
    <row r="270" spans="1:13" x14ac:dyDescent="0.25">
      <c r="A270" s="2">
        <v>45588</v>
      </c>
      <c r="B270" t="s">
        <v>15</v>
      </c>
      <c r="C270" t="s">
        <v>12</v>
      </c>
      <c r="D270" t="s">
        <v>16</v>
      </c>
      <c r="E270">
        <v>68365</v>
      </c>
      <c r="F270">
        <v>1822</v>
      </c>
      <c r="G270">
        <v>3000.31</v>
      </c>
      <c r="H270">
        <v>51</v>
      </c>
      <c r="I270">
        <v>4044.04</v>
      </c>
      <c r="J270" s="3">
        <f t="shared" si="16"/>
        <v>2.7991218441273324</v>
      </c>
      <c r="K270" s="3">
        <f t="shared" si="17"/>
        <v>58.829607843137254</v>
      </c>
      <c r="L270" s="3">
        <f t="shared" si="18"/>
        <v>1.3478740530145219</v>
      </c>
      <c r="M270" s="3">
        <f t="shared" si="19"/>
        <v>79.294901960784316</v>
      </c>
    </row>
    <row r="271" spans="1:13" x14ac:dyDescent="0.25">
      <c r="A271" s="2">
        <v>45588</v>
      </c>
      <c r="B271" t="s">
        <v>15</v>
      </c>
      <c r="C271" t="s">
        <v>14</v>
      </c>
      <c r="D271" t="s">
        <v>27</v>
      </c>
      <c r="E271">
        <v>5880</v>
      </c>
      <c r="F271">
        <v>182</v>
      </c>
      <c r="G271">
        <v>209.95</v>
      </c>
      <c r="H271">
        <v>20</v>
      </c>
      <c r="I271">
        <v>964.49</v>
      </c>
      <c r="J271" s="3">
        <f t="shared" si="16"/>
        <v>10.989010989010989</v>
      </c>
      <c r="K271" s="3">
        <f t="shared" si="17"/>
        <v>10.497499999999999</v>
      </c>
      <c r="L271" s="3">
        <f t="shared" si="18"/>
        <v>4.5939033103119797</v>
      </c>
      <c r="M271" s="3">
        <f t="shared" si="19"/>
        <v>48.224499999999999</v>
      </c>
    </row>
    <row r="272" spans="1:13" x14ac:dyDescent="0.25">
      <c r="A272" s="2">
        <v>45588</v>
      </c>
      <c r="B272" t="s">
        <v>19</v>
      </c>
      <c r="C272" t="s">
        <v>10</v>
      </c>
      <c r="D272" t="s">
        <v>20</v>
      </c>
      <c r="E272">
        <v>20746</v>
      </c>
      <c r="F272">
        <v>626</v>
      </c>
      <c r="G272">
        <v>495</v>
      </c>
      <c r="H272">
        <v>49</v>
      </c>
      <c r="I272">
        <v>1984.66</v>
      </c>
      <c r="J272" s="3">
        <f t="shared" si="16"/>
        <v>7.8274760383386583</v>
      </c>
      <c r="K272" s="3">
        <f t="shared" si="17"/>
        <v>10.102040816326531</v>
      </c>
      <c r="L272" s="3">
        <f t="shared" si="18"/>
        <v>4.0094141414141413</v>
      </c>
      <c r="M272" s="3">
        <f t="shared" si="19"/>
        <v>40.503265306122451</v>
      </c>
    </row>
    <row r="273" spans="1:13" x14ac:dyDescent="0.25">
      <c r="A273" s="2">
        <v>45588</v>
      </c>
      <c r="B273" t="s">
        <v>19</v>
      </c>
      <c r="C273" t="s">
        <v>12</v>
      </c>
      <c r="D273" t="s">
        <v>22</v>
      </c>
      <c r="E273">
        <v>57044</v>
      </c>
      <c r="F273">
        <v>2038</v>
      </c>
      <c r="G273">
        <v>4313.16</v>
      </c>
      <c r="H273">
        <v>176</v>
      </c>
      <c r="I273">
        <v>13204.38</v>
      </c>
      <c r="J273" s="3">
        <f t="shared" si="16"/>
        <v>8.6359175662414138</v>
      </c>
      <c r="K273" s="3">
        <f t="shared" si="17"/>
        <v>24.506590909090907</v>
      </c>
      <c r="L273" s="3">
        <f t="shared" si="18"/>
        <v>3.0614166875330384</v>
      </c>
      <c r="M273" s="3">
        <f t="shared" si="19"/>
        <v>75.024886363636355</v>
      </c>
    </row>
    <row r="274" spans="1:13" x14ac:dyDescent="0.25">
      <c r="A274" s="2">
        <v>45588</v>
      </c>
      <c r="B274" t="s">
        <v>19</v>
      </c>
      <c r="C274" t="s">
        <v>14</v>
      </c>
      <c r="D274" t="s">
        <v>22</v>
      </c>
      <c r="E274">
        <v>5890</v>
      </c>
      <c r="F274">
        <v>54</v>
      </c>
      <c r="G274">
        <v>178.93</v>
      </c>
      <c r="H274">
        <v>4</v>
      </c>
      <c r="I274">
        <v>880.98</v>
      </c>
      <c r="J274" s="3">
        <f t="shared" si="16"/>
        <v>7.4074074074074066</v>
      </c>
      <c r="K274" s="3">
        <f t="shared" si="17"/>
        <v>44.732500000000002</v>
      </c>
      <c r="L274" s="3">
        <f t="shared" si="18"/>
        <v>4.9236014083719892</v>
      </c>
      <c r="M274" s="3">
        <f t="shared" si="19"/>
        <v>220.245</v>
      </c>
    </row>
    <row r="275" spans="1:13" x14ac:dyDescent="0.25">
      <c r="A275" s="2">
        <v>45588</v>
      </c>
      <c r="B275" t="s">
        <v>23</v>
      </c>
      <c r="C275" t="s">
        <v>10</v>
      </c>
      <c r="D275" t="s">
        <v>24</v>
      </c>
      <c r="E275">
        <v>10873</v>
      </c>
      <c r="F275">
        <v>785</v>
      </c>
      <c r="G275">
        <v>618.64</v>
      </c>
      <c r="H275">
        <v>51</v>
      </c>
      <c r="I275">
        <v>2582.84</v>
      </c>
      <c r="J275" s="3">
        <f t="shared" si="16"/>
        <v>6.4968152866242042</v>
      </c>
      <c r="K275" s="3">
        <f t="shared" si="17"/>
        <v>12.130196078431373</v>
      </c>
      <c r="L275" s="3">
        <f t="shared" si="18"/>
        <v>4.1750290960817278</v>
      </c>
      <c r="M275" s="3">
        <f t="shared" si="19"/>
        <v>50.643921568627455</v>
      </c>
    </row>
    <row r="276" spans="1:13" x14ac:dyDescent="0.25">
      <c r="A276" s="2">
        <v>45588</v>
      </c>
      <c r="B276" t="s">
        <v>23</v>
      </c>
      <c r="C276" t="s">
        <v>12</v>
      </c>
      <c r="D276" t="s">
        <v>25</v>
      </c>
      <c r="E276">
        <v>38365</v>
      </c>
      <c r="F276">
        <v>2195</v>
      </c>
      <c r="G276">
        <v>2921.8</v>
      </c>
      <c r="H276">
        <v>174</v>
      </c>
      <c r="I276">
        <v>10490.13</v>
      </c>
      <c r="J276" s="3">
        <f t="shared" si="16"/>
        <v>7.9271070615034178</v>
      </c>
      <c r="K276" s="3">
        <f t="shared" si="17"/>
        <v>16.791954022988506</v>
      </c>
      <c r="L276" s="3">
        <f t="shared" si="18"/>
        <v>3.5902970771442257</v>
      </c>
      <c r="M276" s="3">
        <f t="shared" si="19"/>
        <v>60.288103448275855</v>
      </c>
    </row>
    <row r="277" spans="1:13" x14ac:dyDescent="0.25">
      <c r="A277" s="2">
        <v>45588</v>
      </c>
      <c r="B277" t="s">
        <v>23</v>
      </c>
      <c r="C277" t="s">
        <v>14</v>
      </c>
      <c r="D277" t="s">
        <v>29</v>
      </c>
      <c r="E277">
        <v>3210</v>
      </c>
      <c r="F277">
        <v>224</v>
      </c>
      <c r="G277">
        <v>134.77000000000001</v>
      </c>
      <c r="H277">
        <v>19</v>
      </c>
      <c r="I277">
        <v>647.32000000000005</v>
      </c>
      <c r="J277" s="3">
        <f t="shared" si="16"/>
        <v>8.4821428571428577</v>
      </c>
      <c r="K277" s="3">
        <f t="shared" si="17"/>
        <v>7.0931578947368426</v>
      </c>
      <c r="L277" s="3">
        <f t="shared" si="18"/>
        <v>4.8031461007642653</v>
      </c>
      <c r="M277" s="3">
        <f t="shared" si="19"/>
        <v>34.069473684210529</v>
      </c>
    </row>
    <row r="278" spans="1:13" x14ac:dyDescent="0.25">
      <c r="A278" s="2">
        <v>45589</v>
      </c>
      <c r="B278" t="s">
        <v>9</v>
      </c>
      <c r="C278" t="s">
        <v>10</v>
      </c>
      <c r="D278" t="s">
        <v>13</v>
      </c>
      <c r="E278">
        <v>16251</v>
      </c>
      <c r="F278">
        <v>319</v>
      </c>
      <c r="G278">
        <v>829.25</v>
      </c>
      <c r="H278">
        <v>36</v>
      </c>
      <c r="I278">
        <v>1472.28</v>
      </c>
      <c r="J278" s="3">
        <f t="shared" si="16"/>
        <v>11.285266457680251</v>
      </c>
      <c r="K278" s="3">
        <f t="shared" si="17"/>
        <v>23.034722222222221</v>
      </c>
      <c r="L278" s="3">
        <f t="shared" si="18"/>
        <v>1.775435634609587</v>
      </c>
      <c r="M278" s="3">
        <f t="shared" si="19"/>
        <v>40.896666666666668</v>
      </c>
    </row>
    <row r="279" spans="1:13" x14ac:dyDescent="0.25">
      <c r="A279" s="2">
        <v>45589</v>
      </c>
      <c r="B279" t="s">
        <v>9</v>
      </c>
      <c r="C279" t="s">
        <v>12</v>
      </c>
      <c r="D279" t="s">
        <v>26</v>
      </c>
      <c r="E279">
        <v>61894</v>
      </c>
      <c r="F279">
        <v>2027</v>
      </c>
      <c r="G279">
        <v>4099.8900000000003</v>
      </c>
      <c r="H279">
        <v>160</v>
      </c>
      <c r="I279">
        <v>18518</v>
      </c>
      <c r="J279" s="3">
        <f t="shared" si="16"/>
        <v>7.8934385791810557</v>
      </c>
      <c r="K279" s="3">
        <f t="shared" si="17"/>
        <v>25.624312500000002</v>
      </c>
      <c r="L279" s="3">
        <f t="shared" si="18"/>
        <v>4.5167065457853743</v>
      </c>
      <c r="M279" s="3">
        <f t="shared" si="19"/>
        <v>115.7375</v>
      </c>
    </row>
    <row r="280" spans="1:13" x14ac:dyDescent="0.25">
      <c r="A280" s="2">
        <v>45589</v>
      </c>
      <c r="B280" t="s">
        <v>9</v>
      </c>
      <c r="C280" t="s">
        <v>14</v>
      </c>
      <c r="D280" t="s">
        <v>13</v>
      </c>
      <c r="E280">
        <v>7781</v>
      </c>
      <c r="F280">
        <v>85</v>
      </c>
      <c r="G280">
        <v>231.54</v>
      </c>
      <c r="H280">
        <v>18</v>
      </c>
      <c r="I280">
        <v>563.84</v>
      </c>
      <c r="J280" s="3">
        <f t="shared" si="16"/>
        <v>21.176470588235293</v>
      </c>
      <c r="K280" s="3">
        <f t="shared" si="17"/>
        <v>12.863333333333333</v>
      </c>
      <c r="L280" s="3">
        <f t="shared" si="18"/>
        <v>2.4351731882180188</v>
      </c>
      <c r="M280" s="3">
        <f t="shared" si="19"/>
        <v>31.324444444444445</v>
      </c>
    </row>
    <row r="281" spans="1:13" x14ac:dyDescent="0.25">
      <c r="A281" s="2">
        <v>45589</v>
      </c>
      <c r="B281" t="s">
        <v>15</v>
      </c>
      <c r="C281" t="s">
        <v>10</v>
      </c>
      <c r="D281" t="s">
        <v>17</v>
      </c>
      <c r="E281">
        <v>27218</v>
      </c>
      <c r="F281">
        <v>685</v>
      </c>
      <c r="G281">
        <v>676.5</v>
      </c>
      <c r="H281">
        <v>21</v>
      </c>
      <c r="I281">
        <v>1993.46</v>
      </c>
      <c r="J281" s="3">
        <f t="shared" si="16"/>
        <v>3.0656934306569341</v>
      </c>
      <c r="K281" s="3">
        <f t="shared" si="17"/>
        <v>32.214285714285715</v>
      </c>
      <c r="L281" s="3">
        <f t="shared" si="18"/>
        <v>2.9467257945306726</v>
      </c>
      <c r="M281" s="3">
        <f t="shared" si="19"/>
        <v>94.926666666666662</v>
      </c>
    </row>
    <row r="282" spans="1:13" x14ac:dyDescent="0.25">
      <c r="A282" s="2">
        <v>45589</v>
      </c>
      <c r="B282" t="s">
        <v>15</v>
      </c>
      <c r="C282" t="s">
        <v>12</v>
      </c>
      <c r="D282" t="s">
        <v>27</v>
      </c>
      <c r="E282">
        <v>58218</v>
      </c>
      <c r="F282">
        <v>2384</v>
      </c>
      <c r="G282">
        <v>4087.96</v>
      </c>
      <c r="H282">
        <v>224</v>
      </c>
      <c r="I282">
        <v>15480.43</v>
      </c>
      <c r="J282" s="3">
        <f t="shared" si="16"/>
        <v>9.3959731543624159</v>
      </c>
      <c r="K282" s="3">
        <f t="shared" si="17"/>
        <v>18.24982142857143</v>
      </c>
      <c r="L282" s="3">
        <f t="shared" si="18"/>
        <v>3.786834998385503</v>
      </c>
      <c r="M282" s="3">
        <f t="shared" si="19"/>
        <v>69.109062500000007</v>
      </c>
    </row>
    <row r="283" spans="1:13" x14ac:dyDescent="0.25">
      <c r="A283" s="2">
        <v>45589</v>
      </c>
      <c r="B283" t="s">
        <v>15</v>
      </c>
      <c r="C283" t="s">
        <v>14</v>
      </c>
      <c r="D283" t="s">
        <v>27</v>
      </c>
      <c r="E283">
        <v>6997</v>
      </c>
      <c r="F283">
        <v>173</v>
      </c>
      <c r="G283">
        <v>117.29</v>
      </c>
      <c r="H283">
        <v>8</v>
      </c>
      <c r="I283">
        <v>265.10000000000002</v>
      </c>
      <c r="J283" s="3">
        <f t="shared" si="16"/>
        <v>4.6242774566473983</v>
      </c>
      <c r="K283" s="3">
        <f t="shared" si="17"/>
        <v>14.661250000000001</v>
      </c>
      <c r="L283" s="3">
        <f t="shared" si="18"/>
        <v>2.2602097365504306</v>
      </c>
      <c r="M283" s="3">
        <f t="shared" si="19"/>
        <v>33.137500000000003</v>
      </c>
    </row>
    <row r="284" spans="1:13" x14ac:dyDescent="0.25">
      <c r="A284" s="2">
        <v>45589</v>
      </c>
      <c r="B284" t="s">
        <v>19</v>
      </c>
      <c r="C284" t="s">
        <v>10</v>
      </c>
      <c r="D284" t="s">
        <v>22</v>
      </c>
      <c r="E284">
        <v>17368</v>
      </c>
      <c r="F284">
        <v>604</v>
      </c>
      <c r="G284">
        <v>1225.4100000000001</v>
      </c>
      <c r="H284">
        <v>55</v>
      </c>
      <c r="I284">
        <v>2435.69</v>
      </c>
      <c r="J284" s="3">
        <f t="shared" si="16"/>
        <v>9.105960264900661</v>
      </c>
      <c r="K284" s="3">
        <f t="shared" si="17"/>
        <v>22.28018181818182</v>
      </c>
      <c r="L284" s="3">
        <f t="shared" si="18"/>
        <v>1.9876531120196506</v>
      </c>
      <c r="M284" s="3">
        <f t="shared" si="19"/>
        <v>44.285272727272726</v>
      </c>
    </row>
    <row r="285" spans="1:13" x14ac:dyDescent="0.25">
      <c r="A285" s="2">
        <v>45589</v>
      </c>
      <c r="B285" t="s">
        <v>19</v>
      </c>
      <c r="C285" t="s">
        <v>12</v>
      </c>
      <c r="D285" t="s">
        <v>26</v>
      </c>
      <c r="E285">
        <v>55777</v>
      </c>
      <c r="F285">
        <v>1982</v>
      </c>
      <c r="G285">
        <v>2395.21</v>
      </c>
      <c r="H285">
        <v>243</v>
      </c>
      <c r="I285">
        <v>9442.7000000000007</v>
      </c>
      <c r="J285" s="3">
        <f t="shared" si="16"/>
        <v>12.260343087790112</v>
      </c>
      <c r="K285" s="3">
        <f t="shared" si="17"/>
        <v>9.8568312757201646</v>
      </c>
      <c r="L285" s="3">
        <f t="shared" si="18"/>
        <v>3.9423265600928521</v>
      </c>
      <c r="M285" s="3">
        <f t="shared" si="19"/>
        <v>38.85884773662552</v>
      </c>
    </row>
    <row r="286" spans="1:13" x14ac:dyDescent="0.25">
      <c r="A286" s="2">
        <v>45589</v>
      </c>
      <c r="B286" t="s">
        <v>19</v>
      </c>
      <c r="C286" t="s">
        <v>14</v>
      </c>
      <c r="D286" t="s">
        <v>22</v>
      </c>
      <c r="E286">
        <v>2998</v>
      </c>
      <c r="F286">
        <v>196</v>
      </c>
      <c r="G286">
        <v>286.82</v>
      </c>
      <c r="H286">
        <v>13</v>
      </c>
      <c r="I286">
        <v>1320.49</v>
      </c>
      <c r="J286" s="3">
        <f t="shared" si="16"/>
        <v>6.6326530612244898</v>
      </c>
      <c r="K286" s="3">
        <f t="shared" si="17"/>
        <v>22.063076923076924</v>
      </c>
      <c r="L286" s="3">
        <f t="shared" si="18"/>
        <v>4.6038979150686847</v>
      </c>
      <c r="M286" s="3">
        <f t="shared" si="19"/>
        <v>101.57615384615384</v>
      </c>
    </row>
    <row r="287" spans="1:13" x14ac:dyDescent="0.25">
      <c r="A287" s="2">
        <v>45589</v>
      </c>
      <c r="B287" t="s">
        <v>23</v>
      </c>
      <c r="C287" t="s">
        <v>10</v>
      </c>
      <c r="D287" t="s">
        <v>29</v>
      </c>
      <c r="E287">
        <v>21309</v>
      </c>
      <c r="F287">
        <v>449</v>
      </c>
      <c r="G287">
        <v>648.54</v>
      </c>
      <c r="H287">
        <v>28</v>
      </c>
      <c r="I287">
        <v>3132.57</v>
      </c>
      <c r="J287" s="3">
        <f t="shared" si="16"/>
        <v>6.2360801781737196</v>
      </c>
      <c r="K287" s="3">
        <f t="shared" si="17"/>
        <v>23.162142857142857</v>
      </c>
      <c r="L287" s="3">
        <f t="shared" si="18"/>
        <v>4.8301878064575821</v>
      </c>
      <c r="M287" s="3">
        <f t="shared" si="19"/>
        <v>111.87750000000001</v>
      </c>
    </row>
    <row r="288" spans="1:13" x14ac:dyDescent="0.25">
      <c r="A288" s="2">
        <v>45589</v>
      </c>
      <c r="B288" t="s">
        <v>23</v>
      </c>
      <c r="C288" t="s">
        <v>12</v>
      </c>
      <c r="D288" t="s">
        <v>28</v>
      </c>
      <c r="E288">
        <v>57699</v>
      </c>
      <c r="F288">
        <v>2892</v>
      </c>
      <c r="G288">
        <v>2769.5</v>
      </c>
      <c r="H288">
        <v>105</v>
      </c>
      <c r="I288">
        <v>11188.47</v>
      </c>
      <c r="J288" s="3">
        <f t="shared" si="16"/>
        <v>3.6307053941908718</v>
      </c>
      <c r="K288" s="3">
        <f t="shared" si="17"/>
        <v>26.376190476190477</v>
      </c>
      <c r="L288" s="3">
        <f t="shared" si="18"/>
        <v>4.0398880664379853</v>
      </c>
      <c r="M288" s="3">
        <f t="shared" si="19"/>
        <v>106.55685714285714</v>
      </c>
    </row>
    <row r="289" spans="1:13" x14ac:dyDescent="0.25">
      <c r="A289" s="2">
        <v>45589</v>
      </c>
      <c r="B289" t="s">
        <v>23</v>
      </c>
      <c r="C289" t="s">
        <v>14</v>
      </c>
      <c r="D289" t="s">
        <v>25</v>
      </c>
      <c r="E289">
        <v>3655</v>
      </c>
      <c r="F289">
        <v>187</v>
      </c>
      <c r="G289">
        <v>144.9</v>
      </c>
      <c r="H289">
        <v>18</v>
      </c>
      <c r="I289">
        <v>557.21</v>
      </c>
      <c r="J289" s="3">
        <f t="shared" si="16"/>
        <v>9.6256684491978604</v>
      </c>
      <c r="K289" s="3">
        <f t="shared" si="17"/>
        <v>8.0500000000000007</v>
      </c>
      <c r="L289" s="3">
        <f t="shared" si="18"/>
        <v>3.8454796411318153</v>
      </c>
      <c r="M289" s="3">
        <f t="shared" si="19"/>
        <v>30.956111111111113</v>
      </c>
    </row>
    <row r="290" spans="1:13" x14ac:dyDescent="0.25">
      <c r="A290" s="2">
        <v>45590</v>
      </c>
      <c r="B290" t="s">
        <v>9</v>
      </c>
      <c r="C290" t="s">
        <v>10</v>
      </c>
      <c r="D290" t="s">
        <v>26</v>
      </c>
      <c r="E290">
        <v>13579</v>
      </c>
      <c r="F290">
        <v>900</v>
      </c>
      <c r="G290">
        <v>587.14</v>
      </c>
      <c r="H290">
        <v>13</v>
      </c>
      <c r="I290">
        <v>2199.06</v>
      </c>
      <c r="J290" s="3">
        <f t="shared" si="16"/>
        <v>1.4444444444444444</v>
      </c>
      <c r="K290" s="3">
        <f t="shared" si="17"/>
        <v>45.164615384615381</v>
      </c>
      <c r="L290" s="3">
        <f t="shared" si="18"/>
        <v>3.7453758899070069</v>
      </c>
      <c r="M290" s="3">
        <f t="shared" si="19"/>
        <v>169.15846153846152</v>
      </c>
    </row>
    <row r="291" spans="1:13" x14ac:dyDescent="0.25">
      <c r="A291" s="2">
        <v>45590</v>
      </c>
      <c r="B291" t="s">
        <v>9</v>
      </c>
      <c r="C291" t="s">
        <v>12</v>
      </c>
      <c r="D291" t="s">
        <v>26</v>
      </c>
      <c r="E291">
        <v>50259</v>
      </c>
      <c r="F291">
        <v>1107</v>
      </c>
      <c r="G291">
        <v>1400.79</v>
      </c>
      <c r="H291">
        <v>124</v>
      </c>
      <c r="I291">
        <v>5499.45</v>
      </c>
      <c r="J291" s="3">
        <f t="shared" si="16"/>
        <v>11.201445347786811</v>
      </c>
      <c r="K291" s="3">
        <f t="shared" si="17"/>
        <v>11.296693548387097</v>
      </c>
      <c r="L291" s="3">
        <f t="shared" si="18"/>
        <v>3.9259632064763457</v>
      </c>
      <c r="M291" s="3">
        <f t="shared" si="19"/>
        <v>44.350403225806453</v>
      </c>
    </row>
    <row r="292" spans="1:13" x14ac:dyDescent="0.25">
      <c r="A292" s="2">
        <v>45590</v>
      </c>
      <c r="B292" t="s">
        <v>9</v>
      </c>
      <c r="C292" t="s">
        <v>14</v>
      </c>
      <c r="D292" t="s">
        <v>13</v>
      </c>
      <c r="E292">
        <v>7580</v>
      </c>
      <c r="F292">
        <v>247</v>
      </c>
      <c r="G292">
        <v>98.11</v>
      </c>
      <c r="H292">
        <v>18</v>
      </c>
      <c r="I292">
        <v>482.31</v>
      </c>
      <c r="J292" s="3">
        <f t="shared" si="16"/>
        <v>7.2874493927125501</v>
      </c>
      <c r="K292" s="3">
        <f t="shared" si="17"/>
        <v>5.4505555555555558</v>
      </c>
      <c r="L292" s="3">
        <f t="shared" si="18"/>
        <v>4.9160126388747321</v>
      </c>
      <c r="M292" s="3">
        <f t="shared" si="19"/>
        <v>26.795000000000002</v>
      </c>
    </row>
    <row r="293" spans="1:13" x14ac:dyDescent="0.25">
      <c r="A293" s="2">
        <v>45590</v>
      </c>
      <c r="B293" t="s">
        <v>15</v>
      </c>
      <c r="C293" t="s">
        <v>10</v>
      </c>
      <c r="D293" t="s">
        <v>16</v>
      </c>
      <c r="E293">
        <v>23333</v>
      </c>
      <c r="F293">
        <v>787</v>
      </c>
      <c r="G293">
        <v>872.94</v>
      </c>
      <c r="H293">
        <v>22</v>
      </c>
      <c r="I293">
        <v>3555.02</v>
      </c>
      <c r="J293" s="3">
        <f t="shared" si="16"/>
        <v>2.7954256670902162</v>
      </c>
      <c r="K293" s="3">
        <f t="shared" si="17"/>
        <v>39.67909090909091</v>
      </c>
      <c r="L293" s="3">
        <f t="shared" si="18"/>
        <v>4.0724677526519573</v>
      </c>
      <c r="M293" s="3">
        <f t="shared" si="19"/>
        <v>161.59181818181818</v>
      </c>
    </row>
    <row r="294" spans="1:13" x14ac:dyDescent="0.25">
      <c r="A294" s="2">
        <v>45590</v>
      </c>
      <c r="B294" t="s">
        <v>15</v>
      </c>
      <c r="C294" t="s">
        <v>12</v>
      </c>
      <c r="D294" t="s">
        <v>27</v>
      </c>
      <c r="E294">
        <v>56048</v>
      </c>
      <c r="F294">
        <v>1584</v>
      </c>
      <c r="G294">
        <v>3583.59</v>
      </c>
      <c r="H294">
        <v>236</v>
      </c>
      <c r="I294">
        <v>5518.55</v>
      </c>
      <c r="J294" s="3">
        <f t="shared" si="16"/>
        <v>14.898989898989898</v>
      </c>
      <c r="K294" s="3">
        <f t="shared" si="17"/>
        <v>15.18470338983051</v>
      </c>
      <c r="L294" s="3">
        <f t="shared" si="18"/>
        <v>1.5399501617093474</v>
      </c>
      <c r="M294" s="3">
        <f t="shared" si="19"/>
        <v>23.383686440677966</v>
      </c>
    </row>
    <row r="295" spans="1:13" x14ac:dyDescent="0.25">
      <c r="A295" s="2">
        <v>45590</v>
      </c>
      <c r="B295" t="s">
        <v>15</v>
      </c>
      <c r="C295" t="s">
        <v>14</v>
      </c>
      <c r="D295" t="s">
        <v>16</v>
      </c>
      <c r="E295">
        <v>6383</v>
      </c>
      <c r="F295">
        <v>239</v>
      </c>
      <c r="G295">
        <v>303.08999999999997</v>
      </c>
      <c r="H295">
        <v>2</v>
      </c>
      <c r="I295">
        <v>1415.51</v>
      </c>
      <c r="J295" s="3">
        <f t="shared" si="16"/>
        <v>0.83682008368200833</v>
      </c>
      <c r="K295" s="3">
        <f t="shared" si="17"/>
        <v>151.54499999999999</v>
      </c>
      <c r="L295" s="3">
        <f t="shared" si="18"/>
        <v>4.6702629581972355</v>
      </c>
      <c r="M295" s="3">
        <f t="shared" si="19"/>
        <v>707.755</v>
      </c>
    </row>
    <row r="296" spans="1:13" x14ac:dyDescent="0.25">
      <c r="A296" s="2">
        <v>45590</v>
      </c>
      <c r="B296" t="s">
        <v>19</v>
      </c>
      <c r="C296" t="s">
        <v>10</v>
      </c>
      <c r="D296" t="s">
        <v>20</v>
      </c>
      <c r="E296">
        <v>23693</v>
      </c>
      <c r="F296">
        <v>480</v>
      </c>
      <c r="G296">
        <v>1420.71</v>
      </c>
      <c r="H296">
        <v>12</v>
      </c>
      <c r="I296">
        <v>7088.28</v>
      </c>
      <c r="J296" s="3">
        <f t="shared" si="16"/>
        <v>2.5</v>
      </c>
      <c r="K296" s="3">
        <f t="shared" si="17"/>
        <v>118.3925</v>
      </c>
      <c r="L296" s="3">
        <f t="shared" si="18"/>
        <v>4.989251852946766</v>
      </c>
      <c r="M296" s="3">
        <f t="shared" si="19"/>
        <v>590.68999999999994</v>
      </c>
    </row>
    <row r="297" spans="1:13" x14ac:dyDescent="0.25">
      <c r="A297" s="2">
        <v>45590</v>
      </c>
      <c r="B297" t="s">
        <v>19</v>
      </c>
      <c r="C297" t="s">
        <v>12</v>
      </c>
      <c r="D297" t="s">
        <v>26</v>
      </c>
      <c r="E297">
        <v>67465</v>
      </c>
      <c r="F297">
        <v>1381</v>
      </c>
      <c r="G297">
        <v>4746.43</v>
      </c>
      <c r="H297">
        <v>114</v>
      </c>
      <c r="I297">
        <v>21509.040000000001</v>
      </c>
      <c r="J297" s="3">
        <f t="shared" si="16"/>
        <v>8.2548877624909487</v>
      </c>
      <c r="K297" s="3">
        <f t="shared" si="17"/>
        <v>41.635350877192984</v>
      </c>
      <c r="L297" s="3">
        <f t="shared" si="18"/>
        <v>4.531624821181393</v>
      </c>
      <c r="M297" s="3">
        <f t="shared" si="19"/>
        <v>188.6757894736842</v>
      </c>
    </row>
    <row r="298" spans="1:13" x14ac:dyDescent="0.25">
      <c r="A298" s="2">
        <v>45590</v>
      </c>
      <c r="B298" t="s">
        <v>19</v>
      </c>
      <c r="C298" t="s">
        <v>14</v>
      </c>
      <c r="D298" t="s">
        <v>21</v>
      </c>
      <c r="E298">
        <v>4444</v>
      </c>
      <c r="F298">
        <v>195</v>
      </c>
      <c r="G298">
        <v>260.97000000000003</v>
      </c>
      <c r="H298">
        <v>11</v>
      </c>
      <c r="I298">
        <v>595.36</v>
      </c>
      <c r="J298" s="3">
        <f t="shared" si="16"/>
        <v>5.6410256410256414</v>
      </c>
      <c r="K298" s="3">
        <f t="shared" si="17"/>
        <v>23.724545454545456</v>
      </c>
      <c r="L298" s="3">
        <f t="shared" si="18"/>
        <v>2.281335019350883</v>
      </c>
      <c r="M298" s="3">
        <f t="shared" si="19"/>
        <v>54.123636363636365</v>
      </c>
    </row>
    <row r="299" spans="1:13" x14ac:dyDescent="0.25">
      <c r="A299" s="2">
        <v>45590</v>
      </c>
      <c r="B299" t="s">
        <v>23</v>
      </c>
      <c r="C299" t="s">
        <v>10</v>
      </c>
      <c r="D299" t="s">
        <v>29</v>
      </c>
      <c r="E299">
        <v>14397</v>
      </c>
      <c r="F299">
        <v>816</v>
      </c>
      <c r="G299">
        <v>861.62</v>
      </c>
      <c r="H299">
        <v>22</v>
      </c>
      <c r="I299">
        <v>3682.13</v>
      </c>
      <c r="J299" s="3">
        <f t="shared" si="16"/>
        <v>2.6960784313725492</v>
      </c>
      <c r="K299" s="3">
        <f t="shared" si="17"/>
        <v>39.164545454545454</v>
      </c>
      <c r="L299" s="3">
        <f t="shared" si="18"/>
        <v>4.2734964369443604</v>
      </c>
      <c r="M299" s="3">
        <f t="shared" si="19"/>
        <v>167.36954545454546</v>
      </c>
    </row>
    <row r="300" spans="1:13" x14ac:dyDescent="0.25">
      <c r="A300" s="2">
        <v>45590</v>
      </c>
      <c r="B300" t="s">
        <v>23</v>
      </c>
      <c r="C300" t="s">
        <v>12</v>
      </c>
      <c r="D300" t="s">
        <v>24</v>
      </c>
      <c r="E300">
        <v>45649</v>
      </c>
      <c r="F300">
        <v>2497</v>
      </c>
      <c r="G300">
        <v>2835.66</v>
      </c>
      <c r="H300">
        <v>105</v>
      </c>
      <c r="I300">
        <v>11146.05</v>
      </c>
      <c r="J300" s="3">
        <f t="shared" si="16"/>
        <v>4.2050460552663198</v>
      </c>
      <c r="K300" s="3">
        <f t="shared" si="17"/>
        <v>27.006285714285713</v>
      </c>
      <c r="L300" s="3">
        <f t="shared" si="18"/>
        <v>3.9306722244556824</v>
      </c>
      <c r="M300" s="3">
        <f t="shared" si="19"/>
        <v>106.15285714285713</v>
      </c>
    </row>
    <row r="301" spans="1:13" x14ac:dyDescent="0.25">
      <c r="A301" s="2">
        <v>45590</v>
      </c>
      <c r="B301" t="s">
        <v>23</v>
      </c>
      <c r="C301" t="s">
        <v>14</v>
      </c>
      <c r="D301" t="s">
        <v>28</v>
      </c>
      <c r="E301">
        <v>4761</v>
      </c>
      <c r="F301">
        <v>125</v>
      </c>
      <c r="G301">
        <v>248.72</v>
      </c>
      <c r="H301">
        <v>7</v>
      </c>
      <c r="I301">
        <v>464.33</v>
      </c>
      <c r="J301" s="3">
        <f t="shared" si="16"/>
        <v>5.6000000000000005</v>
      </c>
      <c r="K301" s="3">
        <f t="shared" si="17"/>
        <v>35.53142857142857</v>
      </c>
      <c r="L301" s="3">
        <f t="shared" si="18"/>
        <v>1.8668784174975876</v>
      </c>
      <c r="M301" s="3">
        <f t="shared" si="19"/>
        <v>66.332857142857137</v>
      </c>
    </row>
    <row r="302" spans="1:13" x14ac:dyDescent="0.25">
      <c r="A302" s="2">
        <v>45591</v>
      </c>
      <c r="B302" t="s">
        <v>9</v>
      </c>
      <c r="C302" t="s">
        <v>10</v>
      </c>
      <c r="D302" t="s">
        <v>11</v>
      </c>
      <c r="E302">
        <v>24014</v>
      </c>
      <c r="F302">
        <v>827</v>
      </c>
      <c r="G302">
        <v>693.51</v>
      </c>
      <c r="H302">
        <v>35</v>
      </c>
      <c r="I302">
        <v>2595.9299999999998</v>
      </c>
      <c r="J302" s="3">
        <f t="shared" si="16"/>
        <v>4.2321644498186215</v>
      </c>
      <c r="K302" s="3">
        <f t="shared" si="17"/>
        <v>19.81457142857143</v>
      </c>
      <c r="L302" s="3">
        <f t="shared" si="18"/>
        <v>3.7431760176493487</v>
      </c>
      <c r="M302" s="3">
        <f t="shared" si="19"/>
        <v>74.169428571428568</v>
      </c>
    </row>
    <row r="303" spans="1:13" x14ac:dyDescent="0.25">
      <c r="A303" s="2">
        <v>45591</v>
      </c>
      <c r="B303" t="s">
        <v>9</v>
      </c>
      <c r="C303" t="s">
        <v>12</v>
      </c>
      <c r="D303" t="s">
        <v>26</v>
      </c>
      <c r="E303">
        <v>44215</v>
      </c>
      <c r="F303">
        <v>1977</v>
      </c>
      <c r="G303">
        <v>2294.41</v>
      </c>
      <c r="H303">
        <v>103</v>
      </c>
      <c r="I303">
        <v>2812.84</v>
      </c>
      <c r="J303" s="3">
        <f t="shared" si="16"/>
        <v>5.2099140111279718</v>
      </c>
      <c r="K303" s="3">
        <f t="shared" si="17"/>
        <v>22.275825242718444</v>
      </c>
      <c r="L303" s="3">
        <f t="shared" si="18"/>
        <v>1.2259535131035866</v>
      </c>
      <c r="M303" s="3">
        <f t="shared" si="19"/>
        <v>27.309126213592233</v>
      </c>
    </row>
    <row r="304" spans="1:13" x14ac:dyDescent="0.25">
      <c r="A304" s="2">
        <v>45591</v>
      </c>
      <c r="B304" t="s">
        <v>9</v>
      </c>
      <c r="C304" t="s">
        <v>14</v>
      </c>
      <c r="D304" t="s">
        <v>11</v>
      </c>
      <c r="E304">
        <v>3929</v>
      </c>
      <c r="F304">
        <v>164</v>
      </c>
      <c r="G304">
        <v>313.81</v>
      </c>
      <c r="H304">
        <v>11</v>
      </c>
      <c r="I304">
        <v>736.64</v>
      </c>
      <c r="J304" s="3">
        <f t="shared" si="16"/>
        <v>6.7073170731707323</v>
      </c>
      <c r="K304" s="3">
        <f t="shared" si="17"/>
        <v>28.528181818181817</v>
      </c>
      <c r="L304" s="3">
        <f t="shared" si="18"/>
        <v>2.3474076670596857</v>
      </c>
      <c r="M304" s="3">
        <f t="shared" si="19"/>
        <v>66.967272727272729</v>
      </c>
    </row>
    <row r="305" spans="1:13" x14ac:dyDescent="0.25">
      <c r="A305" s="2">
        <v>45591</v>
      </c>
      <c r="B305" t="s">
        <v>15</v>
      </c>
      <c r="C305" t="s">
        <v>10</v>
      </c>
      <c r="D305" t="s">
        <v>18</v>
      </c>
      <c r="E305">
        <v>18570</v>
      </c>
      <c r="F305">
        <v>668</v>
      </c>
      <c r="G305">
        <v>1131.32</v>
      </c>
      <c r="H305">
        <v>13</v>
      </c>
      <c r="I305">
        <v>4228.41</v>
      </c>
      <c r="J305" s="3">
        <f t="shared" si="16"/>
        <v>1.9461077844311379</v>
      </c>
      <c r="K305" s="3">
        <f t="shared" si="17"/>
        <v>87.024615384615373</v>
      </c>
      <c r="L305" s="3">
        <f t="shared" si="18"/>
        <v>3.7375897182052822</v>
      </c>
      <c r="M305" s="3">
        <f t="shared" si="19"/>
        <v>325.26230769230767</v>
      </c>
    </row>
    <row r="306" spans="1:13" x14ac:dyDescent="0.25">
      <c r="A306" s="2">
        <v>45591</v>
      </c>
      <c r="B306" t="s">
        <v>15</v>
      </c>
      <c r="C306" t="s">
        <v>12</v>
      </c>
      <c r="D306" t="s">
        <v>17</v>
      </c>
      <c r="E306">
        <v>55106</v>
      </c>
      <c r="F306">
        <v>1327</v>
      </c>
      <c r="G306">
        <v>2621.67</v>
      </c>
      <c r="H306">
        <v>168</v>
      </c>
      <c r="I306">
        <v>12342.31</v>
      </c>
      <c r="J306" s="3">
        <f t="shared" si="16"/>
        <v>12.660135644310474</v>
      </c>
      <c r="K306" s="3">
        <f t="shared" si="17"/>
        <v>15.605178571428572</v>
      </c>
      <c r="L306" s="3">
        <f t="shared" si="18"/>
        <v>4.707804567317778</v>
      </c>
      <c r="M306" s="3">
        <f t="shared" si="19"/>
        <v>73.466130952380951</v>
      </c>
    </row>
    <row r="307" spans="1:13" x14ac:dyDescent="0.25">
      <c r="A307" s="2">
        <v>45591</v>
      </c>
      <c r="B307" t="s">
        <v>15</v>
      </c>
      <c r="C307" t="s">
        <v>14</v>
      </c>
      <c r="D307" t="s">
        <v>27</v>
      </c>
      <c r="E307">
        <v>7654</v>
      </c>
      <c r="F307">
        <v>80</v>
      </c>
      <c r="G307">
        <v>273.55</v>
      </c>
      <c r="H307">
        <v>10</v>
      </c>
      <c r="I307">
        <v>710.32</v>
      </c>
      <c r="J307" s="3">
        <f t="shared" si="16"/>
        <v>12.5</v>
      </c>
      <c r="K307" s="3">
        <f t="shared" si="17"/>
        <v>27.355</v>
      </c>
      <c r="L307" s="3">
        <f t="shared" si="18"/>
        <v>2.5966733686711754</v>
      </c>
      <c r="M307" s="3">
        <f t="shared" si="19"/>
        <v>71.032000000000011</v>
      </c>
    </row>
    <row r="308" spans="1:13" x14ac:dyDescent="0.25">
      <c r="A308" s="2">
        <v>45591</v>
      </c>
      <c r="B308" t="s">
        <v>19</v>
      </c>
      <c r="C308" t="s">
        <v>10</v>
      </c>
      <c r="D308" t="s">
        <v>20</v>
      </c>
      <c r="E308">
        <v>17180</v>
      </c>
      <c r="F308">
        <v>436</v>
      </c>
      <c r="G308">
        <v>873.82</v>
      </c>
      <c r="H308">
        <v>39</v>
      </c>
      <c r="I308">
        <v>3531.45</v>
      </c>
      <c r="J308" s="3">
        <f t="shared" si="16"/>
        <v>8.9449541284403669</v>
      </c>
      <c r="K308" s="3">
        <f t="shared" si="17"/>
        <v>22.405641025641028</v>
      </c>
      <c r="L308" s="3">
        <f t="shared" si="18"/>
        <v>4.0413929642260413</v>
      </c>
      <c r="M308" s="3">
        <f t="shared" si="19"/>
        <v>90.55</v>
      </c>
    </row>
    <row r="309" spans="1:13" x14ac:dyDescent="0.25">
      <c r="A309" s="2">
        <v>45591</v>
      </c>
      <c r="B309" t="s">
        <v>19</v>
      </c>
      <c r="C309" t="s">
        <v>12</v>
      </c>
      <c r="D309" t="s">
        <v>22</v>
      </c>
      <c r="E309">
        <v>62252</v>
      </c>
      <c r="F309">
        <v>2437</v>
      </c>
      <c r="G309">
        <v>3196.94</v>
      </c>
      <c r="H309">
        <v>160</v>
      </c>
      <c r="I309">
        <v>13036.9</v>
      </c>
      <c r="J309" s="3">
        <f t="shared" si="16"/>
        <v>6.5654493229380382</v>
      </c>
      <c r="K309" s="3">
        <f t="shared" si="17"/>
        <v>19.980875000000001</v>
      </c>
      <c r="L309" s="3">
        <f t="shared" si="18"/>
        <v>4.0779307713000552</v>
      </c>
      <c r="M309" s="3">
        <f t="shared" si="19"/>
        <v>81.480625000000003</v>
      </c>
    </row>
    <row r="310" spans="1:13" x14ac:dyDescent="0.25">
      <c r="A310" s="2">
        <v>45591</v>
      </c>
      <c r="B310" t="s">
        <v>19</v>
      </c>
      <c r="C310" t="s">
        <v>14</v>
      </c>
      <c r="D310" t="s">
        <v>20</v>
      </c>
      <c r="E310">
        <v>4027</v>
      </c>
      <c r="F310">
        <v>224</v>
      </c>
      <c r="G310">
        <v>314.16000000000003</v>
      </c>
      <c r="H310">
        <v>3</v>
      </c>
      <c r="I310">
        <v>1004.35</v>
      </c>
      <c r="J310" s="3">
        <f t="shared" si="16"/>
        <v>1.3392857142857142</v>
      </c>
      <c r="K310" s="3">
        <f t="shared" si="17"/>
        <v>104.72000000000001</v>
      </c>
      <c r="L310" s="3">
        <f t="shared" si="18"/>
        <v>3.1969378660555128</v>
      </c>
      <c r="M310" s="3">
        <f t="shared" si="19"/>
        <v>334.78333333333336</v>
      </c>
    </row>
    <row r="311" spans="1:13" x14ac:dyDescent="0.25">
      <c r="A311" s="2">
        <v>45591</v>
      </c>
      <c r="B311" t="s">
        <v>23</v>
      </c>
      <c r="C311" t="s">
        <v>10</v>
      </c>
      <c r="D311" t="s">
        <v>24</v>
      </c>
      <c r="E311">
        <v>12559</v>
      </c>
      <c r="F311">
        <v>877</v>
      </c>
      <c r="G311">
        <v>434.65</v>
      </c>
      <c r="H311">
        <v>45</v>
      </c>
      <c r="I311">
        <v>2012.85</v>
      </c>
      <c r="J311" s="3">
        <f t="shared" si="16"/>
        <v>5.131128848346636</v>
      </c>
      <c r="K311" s="3">
        <f t="shared" si="17"/>
        <v>9.6588888888888889</v>
      </c>
      <c r="L311" s="3">
        <f t="shared" si="18"/>
        <v>4.6309674450707465</v>
      </c>
      <c r="M311" s="3">
        <f t="shared" si="19"/>
        <v>44.73</v>
      </c>
    </row>
    <row r="312" spans="1:13" x14ac:dyDescent="0.25">
      <c r="A312" s="2">
        <v>45591</v>
      </c>
      <c r="B312" t="s">
        <v>23</v>
      </c>
      <c r="C312" t="s">
        <v>12</v>
      </c>
      <c r="D312" t="s">
        <v>25</v>
      </c>
      <c r="E312">
        <v>44820</v>
      </c>
      <c r="F312">
        <v>1336</v>
      </c>
      <c r="G312">
        <v>2312.4699999999998</v>
      </c>
      <c r="H312">
        <v>173</v>
      </c>
      <c r="I312">
        <v>6657.59</v>
      </c>
      <c r="J312" s="3">
        <f t="shared" si="16"/>
        <v>12.949101796407186</v>
      </c>
      <c r="K312" s="3">
        <f t="shared" si="17"/>
        <v>13.366878612716762</v>
      </c>
      <c r="L312" s="3">
        <f t="shared" si="18"/>
        <v>2.878995186964588</v>
      </c>
      <c r="M312" s="3">
        <f t="shared" si="19"/>
        <v>38.483179190751443</v>
      </c>
    </row>
    <row r="313" spans="1:13" x14ac:dyDescent="0.25">
      <c r="A313" s="2">
        <v>45591</v>
      </c>
      <c r="B313" t="s">
        <v>23</v>
      </c>
      <c r="C313" t="s">
        <v>14</v>
      </c>
      <c r="D313" t="s">
        <v>25</v>
      </c>
      <c r="E313">
        <v>7872</v>
      </c>
      <c r="F313">
        <v>199</v>
      </c>
      <c r="G313">
        <v>221.09</v>
      </c>
      <c r="H313">
        <v>17</v>
      </c>
      <c r="I313">
        <v>639.58000000000004</v>
      </c>
      <c r="J313" s="3">
        <f t="shared" si="16"/>
        <v>8.5427135678391952</v>
      </c>
      <c r="K313" s="3">
        <f t="shared" si="17"/>
        <v>13.005294117647059</v>
      </c>
      <c r="L313" s="3">
        <f t="shared" si="18"/>
        <v>2.8928490659912254</v>
      </c>
      <c r="M313" s="3">
        <f t="shared" si="19"/>
        <v>37.622352941176473</v>
      </c>
    </row>
    <row r="314" spans="1:13" x14ac:dyDescent="0.25">
      <c r="A314" s="2">
        <v>45592</v>
      </c>
      <c r="B314" t="s">
        <v>9</v>
      </c>
      <c r="C314" t="s">
        <v>10</v>
      </c>
      <c r="D314" t="s">
        <v>13</v>
      </c>
      <c r="E314">
        <v>24858</v>
      </c>
      <c r="F314">
        <v>435</v>
      </c>
      <c r="G314">
        <v>915.9</v>
      </c>
      <c r="H314">
        <v>39</v>
      </c>
      <c r="I314">
        <v>3061.73</v>
      </c>
      <c r="J314" s="3">
        <f t="shared" si="16"/>
        <v>8.9655172413793096</v>
      </c>
      <c r="K314" s="3">
        <f t="shared" si="17"/>
        <v>23.484615384615385</v>
      </c>
      <c r="L314" s="3">
        <f t="shared" si="18"/>
        <v>3.3428649415875098</v>
      </c>
      <c r="M314" s="3">
        <f t="shared" si="19"/>
        <v>78.505897435897438</v>
      </c>
    </row>
    <row r="315" spans="1:13" x14ac:dyDescent="0.25">
      <c r="A315" s="2">
        <v>45592</v>
      </c>
      <c r="B315" t="s">
        <v>9</v>
      </c>
      <c r="C315" t="s">
        <v>12</v>
      </c>
      <c r="D315" t="s">
        <v>11</v>
      </c>
      <c r="E315">
        <v>55196</v>
      </c>
      <c r="F315">
        <v>2481</v>
      </c>
      <c r="G315">
        <v>1087.08</v>
      </c>
      <c r="H315">
        <v>105</v>
      </c>
      <c r="I315">
        <v>4677.1899999999996</v>
      </c>
      <c r="J315" s="3">
        <f t="shared" si="16"/>
        <v>4.2321644498186215</v>
      </c>
      <c r="K315" s="3">
        <f t="shared" si="17"/>
        <v>10.353142857142856</v>
      </c>
      <c r="L315" s="3">
        <f t="shared" si="18"/>
        <v>4.3025260330426462</v>
      </c>
      <c r="M315" s="3">
        <f t="shared" si="19"/>
        <v>44.544666666666664</v>
      </c>
    </row>
    <row r="316" spans="1:13" x14ac:dyDescent="0.25">
      <c r="A316" s="2">
        <v>45592</v>
      </c>
      <c r="B316" t="s">
        <v>9</v>
      </c>
      <c r="C316" t="s">
        <v>14</v>
      </c>
      <c r="D316" t="s">
        <v>26</v>
      </c>
      <c r="E316">
        <v>6737</v>
      </c>
      <c r="F316">
        <v>68</v>
      </c>
      <c r="G316">
        <v>65.849999999999994</v>
      </c>
      <c r="H316">
        <v>12</v>
      </c>
      <c r="I316">
        <v>254.28</v>
      </c>
      <c r="J316" s="3">
        <f t="shared" si="16"/>
        <v>17.647058823529413</v>
      </c>
      <c r="K316" s="3">
        <f t="shared" si="17"/>
        <v>5.4874999999999998</v>
      </c>
      <c r="L316" s="3">
        <f t="shared" si="18"/>
        <v>3.8615034168564923</v>
      </c>
      <c r="M316" s="3">
        <f t="shared" si="19"/>
        <v>21.19</v>
      </c>
    </row>
    <row r="317" spans="1:13" x14ac:dyDescent="0.25">
      <c r="A317" s="2">
        <v>45592</v>
      </c>
      <c r="B317" t="s">
        <v>15</v>
      </c>
      <c r="C317" t="s">
        <v>10</v>
      </c>
      <c r="D317" t="s">
        <v>18</v>
      </c>
      <c r="E317">
        <v>12261</v>
      </c>
      <c r="F317">
        <v>783</v>
      </c>
      <c r="G317">
        <v>338.08</v>
      </c>
      <c r="H317">
        <v>36</v>
      </c>
      <c r="I317">
        <v>636.91999999999996</v>
      </c>
      <c r="J317" s="3">
        <f t="shared" si="16"/>
        <v>4.5977011494252871</v>
      </c>
      <c r="K317" s="3">
        <f t="shared" si="17"/>
        <v>9.3911111111111101</v>
      </c>
      <c r="L317" s="3">
        <f t="shared" si="18"/>
        <v>1.883932796971131</v>
      </c>
      <c r="M317" s="3">
        <f t="shared" si="19"/>
        <v>17.69222222222222</v>
      </c>
    </row>
    <row r="318" spans="1:13" x14ac:dyDescent="0.25">
      <c r="A318" s="2">
        <v>45592</v>
      </c>
      <c r="B318" t="s">
        <v>15</v>
      </c>
      <c r="C318" t="s">
        <v>12</v>
      </c>
      <c r="D318" t="s">
        <v>16</v>
      </c>
      <c r="E318">
        <v>62548</v>
      </c>
      <c r="F318">
        <v>1766</v>
      </c>
      <c r="G318">
        <v>4971.43</v>
      </c>
      <c r="H318">
        <v>137</v>
      </c>
      <c r="I318">
        <v>14439.23</v>
      </c>
      <c r="J318" s="3">
        <f t="shared" si="16"/>
        <v>7.7576443941109847</v>
      </c>
      <c r="K318" s="3">
        <f t="shared" si="17"/>
        <v>36.287810218978102</v>
      </c>
      <c r="L318" s="3">
        <f t="shared" si="18"/>
        <v>2.9044419814821891</v>
      </c>
      <c r="M318" s="3">
        <f t="shared" si="19"/>
        <v>105.39583941605839</v>
      </c>
    </row>
    <row r="319" spans="1:13" x14ac:dyDescent="0.25">
      <c r="A319" s="2">
        <v>45592</v>
      </c>
      <c r="B319" t="s">
        <v>15</v>
      </c>
      <c r="C319" t="s">
        <v>14</v>
      </c>
      <c r="D319" t="s">
        <v>17</v>
      </c>
      <c r="E319">
        <v>5077</v>
      </c>
      <c r="F319">
        <v>70</v>
      </c>
      <c r="G319">
        <v>288.95999999999998</v>
      </c>
      <c r="H319">
        <v>18</v>
      </c>
      <c r="I319">
        <v>492.78</v>
      </c>
      <c r="J319" s="3">
        <f t="shared" si="16"/>
        <v>25.714285714285712</v>
      </c>
      <c r="K319" s="3">
        <f t="shared" si="17"/>
        <v>16.053333333333331</v>
      </c>
      <c r="L319" s="3">
        <f t="shared" si="18"/>
        <v>1.7053571428571428</v>
      </c>
      <c r="M319" s="3">
        <f t="shared" si="19"/>
        <v>27.376666666666665</v>
      </c>
    </row>
    <row r="320" spans="1:13" x14ac:dyDescent="0.25">
      <c r="A320" s="2">
        <v>45592</v>
      </c>
      <c r="B320" t="s">
        <v>19</v>
      </c>
      <c r="C320" t="s">
        <v>10</v>
      </c>
      <c r="D320" t="s">
        <v>22</v>
      </c>
      <c r="E320">
        <v>13887</v>
      </c>
      <c r="F320">
        <v>482</v>
      </c>
      <c r="G320">
        <v>1491.42</v>
      </c>
      <c r="H320">
        <v>35</v>
      </c>
      <c r="I320">
        <v>4786.8599999999997</v>
      </c>
      <c r="J320" s="3">
        <f t="shared" si="16"/>
        <v>7.2614107883817436</v>
      </c>
      <c r="K320" s="3">
        <f t="shared" si="17"/>
        <v>42.612000000000002</v>
      </c>
      <c r="L320" s="3">
        <f t="shared" si="18"/>
        <v>3.2095989057408372</v>
      </c>
      <c r="M320" s="3">
        <f t="shared" si="19"/>
        <v>136.76742857142855</v>
      </c>
    </row>
    <row r="321" spans="1:13" x14ac:dyDescent="0.25">
      <c r="A321" s="2">
        <v>45592</v>
      </c>
      <c r="B321" t="s">
        <v>19</v>
      </c>
      <c r="C321" t="s">
        <v>12</v>
      </c>
      <c r="D321" t="s">
        <v>20</v>
      </c>
      <c r="E321">
        <v>35227</v>
      </c>
      <c r="F321">
        <v>2548</v>
      </c>
      <c r="G321">
        <v>1090.94</v>
      </c>
      <c r="H321">
        <v>116</v>
      </c>
      <c r="I321">
        <v>3228.54</v>
      </c>
      <c r="J321" s="3">
        <f t="shared" si="16"/>
        <v>4.5525902668759812</v>
      </c>
      <c r="K321" s="3">
        <f t="shared" si="17"/>
        <v>9.4046551724137935</v>
      </c>
      <c r="L321" s="3">
        <f t="shared" si="18"/>
        <v>2.9594111500174161</v>
      </c>
      <c r="M321" s="3">
        <f t="shared" si="19"/>
        <v>27.832241379310343</v>
      </c>
    </row>
    <row r="322" spans="1:13" x14ac:dyDescent="0.25">
      <c r="A322" s="2">
        <v>45592</v>
      </c>
      <c r="B322" t="s">
        <v>19</v>
      </c>
      <c r="C322" t="s">
        <v>14</v>
      </c>
      <c r="D322" t="s">
        <v>26</v>
      </c>
      <c r="E322">
        <v>6357</v>
      </c>
      <c r="F322">
        <v>147</v>
      </c>
      <c r="G322">
        <v>338.18</v>
      </c>
      <c r="H322">
        <v>8</v>
      </c>
      <c r="I322">
        <v>997.76</v>
      </c>
      <c r="J322" s="3">
        <f t="shared" si="16"/>
        <v>5.4421768707482991</v>
      </c>
      <c r="K322" s="3">
        <f t="shared" si="17"/>
        <v>42.272500000000001</v>
      </c>
      <c r="L322" s="3">
        <f t="shared" si="18"/>
        <v>2.9503814536637294</v>
      </c>
      <c r="M322" s="3">
        <f t="shared" si="19"/>
        <v>124.72</v>
      </c>
    </row>
    <row r="323" spans="1:13" x14ac:dyDescent="0.25">
      <c r="A323" s="2">
        <v>45592</v>
      </c>
      <c r="B323" t="s">
        <v>23</v>
      </c>
      <c r="C323" t="s">
        <v>10</v>
      </c>
      <c r="D323" t="s">
        <v>25</v>
      </c>
      <c r="E323">
        <v>19032</v>
      </c>
      <c r="F323">
        <v>493</v>
      </c>
      <c r="G323">
        <v>1424.89</v>
      </c>
      <c r="H323">
        <v>56</v>
      </c>
      <c r="I323">
        <v>5854.68</v>
      </c>
      <c r="J323" s="3">
        <f t="shared" ref="J323:J361" si="20">(H323/F323) * 100</f>
        <v>11.359026369168356</v>
      </c>
      <c r="K323" s="3">
        <f t="shared" ref="K323:K361" si="21" xml:space="preserve"> G323/H323</f>
        <v>25.444464285714286</v>
      </c>
      <c r="L323" s="3">
        <f t="shared" ref="L323:L361" si="22">I323/G323</f>
        <v>4.1088645439297071</v>
      </c>
      <c r="M323" s="3">
        <f t="shared" ref="M323:M361" si="23">I323/H323</f>
        <v>104.54785714285715</v>
      </c>
    </row>
    <row r="324" spans="1:13" x14ac:dyDescent="0.25">
      <c r="A324" s="2">
        <v>45592</v>
      </c>
      <c r="B324" t="s">
        <v>23</v>
      </c>
      <c r="C324" t="s">
        <v>12</v>
      </c>
      <c r="D324" t="s">
        <v>28</v>
      </c>
      <c r="E324">
        <v>62475</v>
      </c>
      <c r="F324">
        <v>2259</v>
      </c>
      <c r="G324">
        <v>4064.21</v>
      </c>
      <c r="H324">
        <v>44</v>
      </c>
      <c r="I324">
        <v>8593.9</v>
      </c>
      <c r="J324" s="3">
        <f t="shared" si="20"/>
        <v>1.9477644975652944</v>
      </c>
      <c r="K324" s="3">
        <f t="shared" si="21"/>
        <v>92.368409090909097</v>
      </c>
      <c r="L324" s="3">
        <f t="shared" si="22"/>
        <v>2.1145314833633102</v>
      </c>
      <c r="M324" s="3">
        <f t="shared" si="23"/>
        <v>195.31590909090909</v>
      </c>
    </row>
    <row r="325" spans="1:13" x14ac:dyDescent="0.25">
      <c r="A325" s="2">
        <v>45592</v>
      </c>
      <c r="B325" t="s">
        <v>23</v>
      </c>
      <c r="C325" t="s">
        <v>14</v>
      </c>
      <c r="D325" t="s">
        <v>28</v>
      </c>
      <c r="E325">
        <v>2826</v>
      </c>
      <c r="F325">
        <v>202</v>
      </c>
      <c r="G325">
        <v>61.75</v>
      </c>
      <c r="H325">
        <v>20</v>
      </c>
      <c r="I325">
        <v>231.79</v>
      </c>
      <c r="J325" s="3">
        <f t="shared" si="20"/>
        <v>9.9009900990099009</v>
      </c>
      <c r="K325" s="3">
        <f t="shared" si="21"/>
        <v>3.0874999999999999</v>
      </c>
      <c r="L325" s="3">
        <f t="shared" si="22"/>
        <v>3.7536842105263157</v>
      </c>
      <c r="M325" s="3">
        <f t="shared" si="23"/>
        <v>11.589499999999999</v>
      </c>
    </row>
    <row r="326" spans="1:13" x14ac:dyDescent="0.25">
      <c r="A326" s="2">
        <v>45593</v>
      </c>
      <c r="B326" t="s">
        <v>9</v>
      </c>
      <c r="C326" t="s">
        <v>10</v>
      </c>
      <c r="D326" t="s">
        <v>13</v>
      </c>
      <c r="E326">
        <v>18019</v>
      </c>
      <c r="F326">
        <v>345</v>
      </c>
      <c r="G326">
        <v>782.72</v>
      </c>
      <c r="H326">
        <v>24</v>
      </c>
      <c r="I326">
        <v>2544.69</v>
      </c>
      <c r="J326" s="3">
        <f t="shared" si="20"/>
        <v>6.9565217391304346</v>
      </c>
      <c r="K326" s="3">
        <f t="shared" si="21"/>
        <v>32.613333333333337</v>
      </c>
      <c r="L326" s="3">
        <f t="shared" si="22"/>
        <v>3.2510859566639412</v>
      </c>
      <c r="M326" s="3">
        <f t="shared" si="23"/>
        <v>106.02875</v>
      </c>
    </row>
    <row r="327" spans="1:13" x14ac:dyDescent="0.25">
      <c r="A327" s="2">
        <v>45593</v>
      </c>
      <c r="B327" t="s">
        <v>9</v>
      </c>
      <c r="C327" t="s">
        <v>12</v>
      </c>
      <c r="D327" t="s">
        <v>13</v>
      </c>
      <c r="E327">
        <v>44183</v>
      </c>
      <c r="F327">
        <v>2031</v>
      </c>
      <c r="G327">
        <v>4973.93</v>
      </c>
      <c r="H327">
        <v>99</v>
      </c>
      <c r="I327">
        <v>21387.84</v>
      </c>
      <c r="J327" s="3">
        <f t="shared" si="20"/>
        <v>4.8744460856720826</v>
      </c>
      <c r="K327" s="3">
        <f t="shared" si="21"/>
        <v>50.241717171717177</v>
      </c>
      <c r="L327" s="3">
        <f t="shared" si="22"/>
        <v>4.2999881381523259</v>
      </c>
      <c r="M327" s="3">
        <f t="shared" si="23"/>
        <v>216.03878787878787</v>
      </c>
    </row>
    <row r="328" spans="1:13" x14ac:dyDescent="0.25">
      <c r="A328" s="2">
        <v>45593</v>
      </c>
      <c r="B328" t="s">
        <v>9</v>
      </c>
      <c r="C328" t="s">
        <v>14</v>
      </c>
      <c r="D328" t="s">
        <v>16</v>
      </c>
      <c r="E328">
        <v>6730</v>
      </c>
      <c r="F328">
        <v>203</v>
      </c>
      <c r="G328">
        <v>320.39</v>
      </c>
      <c r="H328">
        <v>11</v>
      </c>
      <c r="I328">
        <v>672.89</v>
      </c>
      <c r="J328" s="3">
        <f t="shared" si="20"/>
        <v>5.4187192118226601</v>
      </c>
      <c r="K328" s="3">
        <f t="shared" si="21"/>
        <v>29.126363636363635</v>
      </c>
      <c r="L328" s="3">
        <f t="shared" si="22"/>
        <v>2.100221604919005</v>
      </c>
      <c r="M328" s="3">
        <f t="shared" si="23"/>
        <v>61.171818181818182</v>
      </c>
    </row>
    <row r="329" spans="1:13" x14ac:dyDescent="0.25">
      <c r="A329" s="2">
        <v>45593</v>
      </c>
      <c r="B329" t="s">
        <v>15</v>
      </c>
      <c r="C329" t="s">
        <v>10</v>
      </c>
      <c r="D329" t="s">
        <v>16</v>
      </c>
      <c r="E329">
        <v>27080</v>
      </c>
      <c r="F329">
        <v>526</v>
      </c>
      <c r="G329">
        <v>796.27</v>
      </c>
      <c r="H329">
        <v>27</v>
      </c>
      <c r="I329">
        <v>1139.97</v>
      </c>
      <c r="J329" s="3">
        <f t="shared" si="20"/>
        <v>5.1330798479087454</v>
      </c>
      <c r="K329" s="3">
        <f t="shared" si="21"/>
        <v>29.491481481481483</v>
      </c>
      <c r="L329" s="3">
        <f t="shared" si="22"/>
        <v>1.4316375098898615</v>
      </c>
      <c r="M329" s="3">
        <f t="shared" si="23"/>
        <v>42.221111111111114</v>
      </c>
    </row>
    <row r="330" spans="1:13" x14ac:dyDescent="0.25">
      <c r="A330" s="2">
        <v>45593</v>
      </c>
      <c r="B330" t="s">
        <v>15</v>
      </c>
      <c r="C330" t="s">
        <v>12</v>
      </c>
      <c r="D330" t="s">
        <v>16</v>
      </c>
      <c r="E330">
        <v>62997</v>
      </c>
      <c r="F330">
        <v>2138</v>
      </c>
      <c r="G330">
        <v>2982.48</v>
      </c>
      <c r="H330">
        <v>128</v>
      </c>
      <c r="I330">
        <v>14250.37</v>
      </c>
      <c r="J330" s="3">
        <f t="shared" si="20"/>
        <v>5.9869036482694105</v>
      </c>
      <c r="K330" s="3">
        <f t="shared" si="21"/>
        <v>23.300625</v>
      </c>
      <c r="L330" s="3">
        <f t="shared" si="22"/>
        <v>4.778027011078029</v>
      </c>
      <c r="M330" s="3">
        <f t="shared" si="23"/>
        <v>111.33101562500001</v>
      </c>
    </row>
    <row r="331" spans="1:13" x14ac:dyDescent="0.25">
      <c r="A331" s="2">
        <v>45593</v>
      </c>
      <c r="B331" t="s">
        <v>15</v>
      </c>
      <c r="C331" t="s">
        <v>14</v>
      </c>
      <c r="D331" t="s">
        <v>17</v>
      </c>
      <c r="E331">
        <v>6296</v>
      </c>
      <c r="F331">
        <v>131</v>
      </c>
      <c r="G331">
        <v>293.70999999999998</v>
      </c>
      <c r="H331">
        <v>14</v>
      </c>
      <c r="I331">
        <v>518.99</v>
      </c>
      <c r="J331" s="3">
        <f t="shared" si="20"/>
        <v>10.687022900763358</v>
      </c>
      <c r="K331" s="3">
        <f t="shared" si="21"/>
        <v>20.979285714285712</v>
      </c>
      <c r="L331" s="3">
        <f t="shared" si="22"/>
        <v>1.7670150829049063</v>
      </c>
      <c r="M331" s="3">
        <f t="shared" si="23"/>
        <v>37.070714285714288</v>
      </c>
    </row>
    <row r="332" spans="1:13" x14ac:dyDescent="0.25">
      <c r="A332" s="2">
        <v>45593</v>
      </c>
      <c r="B332" t="s">
        <v>19</v>
      </c>
      <c r="C332" t="s">
        <v>10</v>
      </c>
      <c r="D332" t="s">
        <v>26</v>
      </c>
      <c r="E332">
        <v>16025</v>
      </c>
      <c r="F332">
        <v>850</v>
      </c>
      <c r="G332">
        <v>868.22</v>
      </c>
      <c r="H332">
        <v>24</v>
      </c>
      <c r="I332">
        <v>2034.06</v>
      </c>
      <c r="J332" s="3">
        <f t="shared" si="20"/>
        <v>2.8235294117647061</v>
      </c>
      <c r="K332" s="3">
        <f t="shared" si="21"/>
        <v>36.175833333333337</v>
      </c>
      <c r="L332" s="3">
        <f t="shared" si="22"/>
        <v>2.3427933012370135</v>
      </c>
      <c r="M332" s="3">
        <f t="shared" si="23"/>
        <v>84.752499999999998</v>
      </c>
    </row>
    <row r="333" spans="1:13" x14ac:dyDescent="0.25">
      <c r="A333" s="2">
        <v>45593</v>
      </c>
      <c r="B333" t="s">
        <v>19</v>
      </c>
      <c r="C333" t="s">
        <v>12</v>
      </c>
      <c r="D333" t="s">
        <v>20</v>
      </c>
      <c r="E333">
        <v>65344</v>
      </c>
      <c r="F333">
        <v>2873</v>
      </c>
      <c r="G333">
        <v>1230.5</v>
      </c>
      <c r="H333">
        <v>145</v>
      </c>
      <c r="I333">
        <v>6001.87</v>
      </c>
      <c r="J333" s="3">
        <f t="shared" si="20"/>
        <v>5.0469892098851377</v>
      </c>
      <c r="K333" s="3">
        <f t="shared" si="21"/>
        <v>8.4862068965517246</v>
      </c>
      <c r="L333" s="3">
        <f t="shared" si="22"/>
        <v>4.8775863470134091</v>
      </c>
      <c r="M333" s="3">
        <f t="shared" si="23"/>
        <v>41.392206896551727</v>
      </c>
    </row>
    <row r="334" spans="1:13" x14ac:dyDescent="0.25">
      <c r="A334" s="2">
        <v>45593</v>
      </c>
      <c r="B334" t="s">
        <v>19</v>
      </c>
      <c r="C334" t="s">
        <v>14</v>
      </c>
      <c r="D334" t="s">
        <v>20</v>
      </c>
      <c r="E334">
        <v>5181</v>
      </c>
      <c r="F334">
        <v>112</v>
      </c>
      <c r="G334">
        <v>139.25</v>
      </c>
      <c r="H334">
        <v>11</v>
      </c>
      <c r="I334">
        <v>509.3</v>
      </c>
      <c r="J334" s="3">
        <f t="shared" si="20"/>
        <v>9.8214285714285712</v>
      </c>
      <c r="K334" s="3">
        <f t="shared" si="21"/>
        <v>12.659090909090908</v>
      </c>
      <c r="L334" s="3">
        <f t="shared" si="22"/>
        <v>3.6574506283662478</v>
      </c>
      <c r="M334" s="3">
        <f t="shared" si="23"/>
        <v>46.300000000000004</v>
      </c>
    </row>
    <row r="335" spans="1:13" x14ac:dyDescent="0.25">
      <c r="A335" s="2">
        <v>45593</v>
      </c>
      <c r="B335" t="s">
        <v>23</v>
      </c>
      <c r="C335" t="s">
        <v>10</v>
      </c>
      <c r="D335" t="s">
        <v>29</v>
      </c>
      <c r="E335">
        <v>22159</v>
      </c>
      <c r="F335">
        <v>394</v>
      </c>
      <c r="G335">
        <v>942.76</v>
      </c>
      <c r="H335">
        <v>22</v>
      </c>
      <c r="I335">
        <v>1315.94</v>
      </c>
      <c r="J335" s="3">
        <f t="shared" si="20"/>
        <v>5.5837563451776653</v>
      </c>
      <c r="K335" s="3">
        <f t="shared" si="21"/>
        <v>42.852727272727272</v>
      </c>
      <c r="L335" s="3">
        <f t="shared" si="22"/>
        <v>1.3958377529806103</v>
      </c>
      <c r="M335" s="3">
        <f t="shared" si="23"/>
        <v>59.81545454545455</v>
      </c>
    </row>
    <row r="336" spans="1:13" x14ac:dyDescent="0.25">
      <c r="A336" s="2">
        <v>45593</v>
      </c>
      <c r="B336" t="s">
        <v>23</v>
      </c>
      <c r="C336" t="s">
        <v>12</v>
      </c>
      <c r="D336" t="s">
        <v>29</v>
      </c>
      <c r="E336">
        <v>37591</v>
      </c>
      <c r="F336">
        <v>2789</v>
      </c>
      <c r="G336">
        <v>1291.1400000000001</v>
      </c>
      <c r="H336">
        <v>245</v>
      </c>
      <c r="I336">
        <v>5286.5</v>
      </c>
      <c r="J336" s="3">
        <f t="shared" si="20"/>
        <v>8.784510577267838</v>
      </c>
      <c r="K336" s="3">
        <f t="shared" si="21"/>
        <v>5.2699591836734694</v>
      </c>
      <c r="L336" s="3">
        <f t="shared" si="22"/>
        <v>4.0944436699350959</v>
      </c>
      <c r="M336" s="3">
        <f t="shared" si="23"/>
        <v>21.577551020408162</v>
      </c>
    </row>
    <row r="337" spans="1:13" x14ac:dyDescent="0.25">
      <c r="A337" s="2">
        <v>45593</v>
      </c>
      <c r="B337" t="s">
        <v>23</v>
      </c>
      <c r="C337" t="s">
        <v>14</v>
      </c>
      <c r="D337" t="s">
        <v>25</v>
      </c>
      <c r="E337">
        <v>5927</v>
      </c>
      <c r="F337">
        <v>103</v>
      </c>
      <c r="G337">
        <v>354.32</v>
      </c>
      <c r="H337">
        <v>11</v>
      </c>
      <c r="I337">
        <v>833.4</v>
      </c>
      <c r="J337" s="3">
        <f t="shared" si="20"/>
        <v>10.679611650485436</v>
      </c>
      <c r="K337" s="3">
        <f t="shared" si="21"/>
        <v>32.210909090909091</v>
      </c>
      <c r="L337" s="3">
        <f t="shared" si="22"/>
        <v>2.3521110860239332</v>
      </c>
      <c r="M337" s="3">
        <f t="shared" si="23"/>
        <v>75.763636363636365</v>
      </c>
    </row>
    <row r="338" spans="1:13" x14ac:dyDescent="0.25">
      <c r="A338" s="2">
        <v>45594</v>
      </c>
      <c r="B338" t="s">
        <v>9</v>
      </c>
      <c r="C338" t="s">
        <v>10</v>
      </c>
      <c r="D338" t="s">
        <v>13</v>
      </c>
      <c r="E338">
        <v>16940</v>
      </c>
      <c r="F338">
        <v>494</v>
      </c>
      <c r="G338">
        <v>1454.49</v>
      </c>
      <c r="H338">
        <v>17</v>
      </c>
      <c r="I338">
        <v>5873.44</v>
      </c>
      <c r="J338" s="3">
        <f t="shared" si="20"/>
        <v>3.4412955465587043</v>
      </c>
      <c r="K338" s="3">
        <f t="shared" si="21"/>
        <v>85.558235294117651</v>
      </c>
      <c r="L338" s="3">
        <f t="shared" si="22"/>
        <v>4.0381439542382553</v>
      </c>
      <c r="M338" s="3">
        <f t="shared" si="23"/>
        <v>345.4964705882353</v>
      </c>
    </row>
    <row r="339" spans="1:13" x14ac:dyDescent="0.25">
      <c r="A339" s="2">
        <v>45594</v>
      </c>
      <c r="B339" t="s">
        <v>9</v>
      </c>
      <c r="C339" t="s">
        <v>12</v>
      </c>
      <c r="D339" t="s">
        <v>11</v>
      </c>
      <c r="E339">
        <v>50898</v>
      </c>
      <c r="F339">
        <v>2424</v>
      </c>
      <c r="G339">
        <v>3417.61</v>
      </c>
      <c r="H339">
        <v>92</v>
      </c>
      <c r="I339">
        <v>9252.16</v>
      </c>
      <c r="J339" s="3">
        <f t="shared" si="20"/>
        <v>3.7953795379537953</v>
      </c>
      <c r="K339" s="3">
        <f t="shared" si="21"/>
        <v>37.147934782608694</v>
      </c>
      <c r="L339" s="3">
        <f t="shared" si="22"/>
        <v>2.7072018164740856</v>
      </c>
      <c r="M339" s="3">
        <f t="shared" si="23"/>
        <v>100.56695652173913</v>
      </c>
    </row>
    <row r="340" spans="1:13" x14ac:dyDescent="0.25">
      <c r="A340" s="2">
        <v>45594</v>
      </c>
      <c r="B340" t="s">
        <v>9</v>
      </c>
      <c r="C340" t="s">
        <v>14</v>
      </c>
      <c r="D340" t="s">
        <v>26</v>
      </c>
      <c r="E340">
        <v>6522</v>
      </c>
      <c r="F340">
        <v>132</v>
      </c>
      <c r="G340">
        <v>321.43</v>
      </c>
      <c r="H340">
        <v>13</v>
      </c>
      <c r="I340">
        <v>955.21</v>
      </c>
      <c r="J340" s="3">
        <f t="shared" si="20"/>
        <v>9.8484848484848477</v>
      </c>
      <c r="K340" s="3">
        <f t="shared" si="21"/>
        <v>24.725384615384616</v>
      </c>
      <c r="L340" s="3">
        <f t="shared" si="22"/>
        <v>2.9717512366611705</v>
      </c>
      <c r="M340" s="3">
        <f t="shared" si="23"/>
        <v>73.477692307692308</v>
      </c>
    </row>
    <row r="341" spans="1:13" x14ac:dyDescent="0.25">
      <c r="A341" s="2">
        <v>45594</v>
      </c>
      <c r="B341" t="s">
        <v>15</v>
      </c>
      <c r="C341" t="s">
        <v>10</v>
      </c>
      <c r="D341" t="s">
        <v>27</v>
      </c>
      <c r="E341">
        <v>20106</v>
      </c>
      <c r="F341">
        <v>567</v>
      </c>
      <c r="G341">
        <v>731.57</v>
      </c>
      <c r="H341">
        <v>41</v>
      </c>
      <c r="I341">
        <v>2173.36</v>
      </c>
      <c r="J341" s="3">
        <f t="shared" si="20"/>
        <v>7.2310405643738971</v>
      </c>
      <c r="K341" s="3">
        <f t="shared" si="21"/>
        <v>17.843170731707318</v>
      </c>
      <c r="L341" s="3">
        <f t="shared" si="22"/>
        <v>2.9708161898382928</v>
      </c>
      <c r="M341" s="3">
        <f t="shared" si="23"/>
        <v>53.008780487804884</v>
      </c>
    </row>
    <row r="342" spans="1:13" x14ac:dyDescent="0.25">
      <c r="A342" s="2">
        <v>45594</v>
      </c>
      <c r="B342" t="s">
        <v>15</v>
      </c>
      <c r="C342" t="s">
        <v>12</v>
      </c>
      <c r="D342" t="s">
        <v>17</v>
      </c>
      <c r="E342">
        <v>55986</v>
      </c>
      <c r="F342">
        <v>2872</v>
      </c>
      <c r="G342">
        <v>1812.51</v>
      </c>
      <c r="H342">
        <v>120</v>
      </c>
      <c r="I342">
        <v>5025.97</v>
      </c>
      <c r="J342" s="3">
        <f t="shared" si="20"/>
        <v>4.1782729805013927</v>
      </c>
      <c r="K342" s="3">
        <f t="shared" si="21"/>
        <v>15.10425</v>
      </c>
      <c r="L342" s="3">
        <f t="shared" si="22"/>
        <v>2.7729336665728743</v>
      </c>
      <c r="M342" s="3">
        <f t="shared" si="23"/>
        <v>41.883083333333339</v>
      </c>
    </row>
    <row r="343" spans="1:13" x14ac:dyDescent="0.25">
      <c r="A343" s="2">
        <v>45594</v>
      </c>
      <c r="B343" t="s">
        <v>15</v>
      </c>
      <c r="C343" t="s">
        <v>14</v>
      </c>
      <c r="D343" t="s">
        <v>16</v>
      </c>
      <c r="E343">
        <v>3195</v>
      </c>
      <c r="F343">
        <v>54</v>
      </c>
      <c r="G343">
        <v>141.27000000000001</v>
      </c>
      <c r="H343">
        <v>19</v>
      </c>
      <c r="I343">
        <v>480.42</v>
      </c>
      <c r="J343" s="3">
        <f t="shared" si="20"/>
        <v>35.185185185185183</v>
      </c>
      <c r="K343" s="3">
        <f t="shared" si="21"/>
        <v>7.4352631578947372</v>
      </c>
      <c r="L343" s="3">
        <f t="shared" si="22"/>
        <v>3.4007220216606497</v>
      </c>
      <c r="M343" s="3">
        <f t="shared" si="23"/>
        <v>25.285263157894736</v>
      </c>
    </row>
    <row r="344" spans="1:13" x14ac:dyDescent="0.25">
      <c r="A344" s="2">
        <v>45594</v>
      </c>
      <c r="B344" t="s">
        <v>19</v>
      </c>
      <c r="C344" t="s">
        <v>10</v>
      </c>
      <c r="D344" t="s">
        <v>26</v>
      </c>
      <c r="E344">
        <v>19672</v>
      </c>
      <c r="F344">
        <v>456</v>
      </c>
      <c r="G344">
        <v>535.42999999999995</v>
      </c>
      <c r="H344">
        <v>24</v>
      </c>
      <c r="I344">
        <v>1415.35</v>
      </c>
      <c r="J344" s="3">
        <f t="shared" si="20"/>
        <v>5.2631578947368416</v>
      </c>
      <c r="K344" s="3">
        <f t="shared" si="21"/>
        <v>22.309583333333332</v>
      </c>
      <c r="L344" s="3">
        <f t="shared" si="22"/>
        <v>2.6433894253217041</v>
      </c>
      <c r="M344" s="3">
        <f t="shared" si="23"/>
        <v>58.972916666666663</v>
      </c>
    </row>
    <row r="345" spans="1:13" x14ac:dyDescent="0.25">
      <c r="A345" s="2">
        <v>45594</v>
      </c>
      <c r="B345" t="s">
        <v>19</v>
      </c>
      <c r="C345" t="s">
        <v>12</v>
      </c>
      <c r="D345" t="s">
        <v>20</v>
      </c>
      <c r="E345">
        <v>67722</v>
      </c>
      <c r="F345">
        <v>2127</v>
      </c>
      <c r="G345">
        <v>3618.43</v>
      </c>
      <c r="H345">
        <v>215</v>
      </c>
      <c r="I345">
        <v>8983.64</v>
      </c>
      <c r="J345" s="3">
        <f t="shared" si="20"/>
        <v>10.108133521391631</v>
      </c>
      <c r="K345" s="3">
        <f t="shared" si="21"/>
        <v>16.829906976744184</v>
      </c>
      <c r="L345" s="3">
        <f t="shared" si="22"/>
        <v>2.4827452790298556</v>
      </c>
      <c r="M345" s="3">
        <f t="shared" si="23"/>
        <v>41.784372093023251</v>
      </c>
    </row>
    <row r="346" spans="1:13" x14ac:dyDescent="0.25">
      <c r="A346" s="2">
        <v>45594</v>
      </c>
      <c r="B346" t="s">
        <v>19</v>
      </c>
      <c r="C346" t="s">
        <v>14</v>
      </c>
      <c r="D346" t="s">
        <v>26</v>
      </c>
      <c r="E346">
        <v>7927</v>
      </c>
      <c r="F346">
        <v>214</v>
      </c>
      <c r="G346">
        <v>308.86</v>
      </c>
      <c r="H346">
        <v>15</v>
      </c>
      <c r="I346">
        <v>568.08000000000004</v>
      </c>
      <c r="J346" s="3">
        <f t="shared" si="20"/>
        <v>7.009345794392523</v>
      </c>
      <c r="K346" s="3">
        <f t="shared" si="21"/>
        <v>20.590666666666667</v>
      </c>
      <c r="L346" s="3">
        <f t="shared" si="22"/>
        <v>1.8392799326555722</v>
      </c>
      <c r="M346" s="3">
        <f t="shared" si="23"/>
        <v>37.872</v>
      </c>
    </row>
    <row r="347" spans="1:13" x14ac:dyDescent="0.25">
      <c r="A347" s="2">
        <v>45594</v>
      </c>
      <c r="B347" t="s">
        <v>23</v>
      </c>
      <c r="C347" t="s">
        <v>10</v>
      </c>
      <c r="D347" t="s">
        <v>24</v>
      </c>
      <c r="E347">
        <v>15546</v>
      </c>
      <c r="F347">
        <v>443</v>
      </c>
      <c r="G347">
        <v>1164.3800000000001</v>
      </c>
      <c r="H347">
        <v>41</v>
      </c>
      <c r="I347">
        <v>2211.6</v>
      </c>
      <c r="J347" s="3">
        <f t="shared" si="20"/>
        <v>9.255079006772009</v>
      </c>
      <c r="K347" s="3">
        <f t="shared" si="21"/>
        <v>28.399512195121954</v>
      </c>
      <c r="L347" s="3">
        <f t="shared" si="22"/>
        <v>1.8993799275150722</v>
      </c>
      <c r="M347" s="3">
        <f t="shared" si="23"/>
        <v>53.941463414634143</v>
      </c>
    </row>
    <row r="348" spans="1:13" x14ac:dyDescent="0.25">
      <c r="A348" s="2">
        <v>45594</v>
      </c>
      <c r="B348" t="s">
        <v>23</v>
      </c>
      <c r="C348" t="s">
        <v>12</v>
      </c>
      <c r="D348" t="s">
        <v>28</v>
      </c>
      <c r="E348">
        <v>69337</v>
      </c>
      <c r="F348">
        <v>1069</v>
      </c>
      <c r="G348">
        <v>4356.2700000000004</v>
      </c>
      <c r="H348">
        <v>59</v>
      </c>
      <c r="I348">
        <v>20874</v>
      </c>
      <c r="J348" s="3">
        <f t="shared" si="20"/>
        <v>5.5191768007483626</v>
      </c>
      <c r="K348" s="3">
        <f t="shared" si="21"/>
        <v>73.835084745762714</v>
      </c>
      <c r="L348" s="3">
        <f t="shared" si="22"/>
        <v>4.7917140122168735</v>
      </c>
      <c r="M348" s="3">
        <f t="shared" si="23"/>
        <v>353.79661016949154</v>
      </c>
    </row>
    <row r="349" spans="1:13" x14ac:dyDescent="0.25">
      <c r="A349" s="2">
        <v>45594</v>
      </c>
      <c r="B349" t="s">
        <v>23</v>
      </c>
      <c r="C349" t="s">
        <v>14</v>
      </c>
      <c r="D349" t="s">
        <v>28</v>
      </c>
      <c r="E349">
        <v>2052</v>
      </c>
      <c r="F349">
        <v>155</v>
      </c>
      <c r="G349">
        <v>98.12</v>
      </c>
      <c r="H349">
        <v>8</v>
      </c>
      <c r="I349">
        <v>143.09</v>
      </c>
      <c r="J349" s="3">
        <f t="shared" si="20"/>
        <v>5.161290322580645</v>
      </c>
      <c r="K349" s="3">
        <f t="shared" si="21"/>
        <v>12.265000000000001</v>
      </c>
      <c r="L349" s="3">
        <f t="shared" si="22"/>
        <v>1.4583163473298002</v>
      </c>
      <c r="M349" s="3">
        <f t="shared" si="23"/>
        <v>17.88625</v>
      </c>
    </row>
    <row r="350" spans="1:13" x14ac:dyDescent="0.25">
      <c r="A350" s="2">
        <v>45595</v>
      </c>
      <c r="B350" t="s">
        <v>9</v>
      </c>
      <c r="C350" t="s">
        <v>10</v>
      </c>
      <c r="D350" t="s">
        <v>26</v>
      </c>
      <c r="E350">
        <v>10299</v>
      </c>
      <c r="F350">
        <v>523</v>
      </c>
      <c r="G350">
        <v>906.88</v>
      </c>
      <c r="H350">
        <v>33</v>
      </c>
      <c r="I350">
        <v>1296.58</v>
      </c>
      <c r="J350" s="3">
        <f t="shared" si="20"/>
        <v>6.3097514340344159</v>
      </c>
      <c r="K350" s="3">
        <f t="shared" si="21"/>
        <v>27.481212121212121</v>
      </c>
      <c r="L350" s="3">
        <f t="shared" si="22"/>
        <v>1.4297150670430485</v>
      </c>
      <c r="M350" s="3">
        <f t="shared" si="23"/>
        <v>39.290303030303029</v>
      </c>
    </row>
    <row r="351" spans="1:13" x14ac:dyDescent="0.25">
      <c r="A351" s="2">
        <v>45595</v>
      </c>
      <c r="B351" t="s">
        <v>9</v>
      </c>
      <c r="C351" t="s">
        <v>12</v>
      </c>
      <c r="D351" t="s">
        <v>11</v>
      </c>
      <c r="E351">
        <v>66972</v>
      </c>
      <c r="F351">
        <v>1032</v>
      </c>
      <c r="G351">
        <v>1026.45</v>
      </c>
      <c r="H351">
        <v>181</v>
      </c>
      <c r="I351">
        <v>2836.17</v>
      </c>
      <c r="J351" s="3">
        <f t="shared" si="20"/>
        <v>17.538759689922482</v>
      </c>
      <c r="K351" s="3">
        <f t="shared" si="21"/>
        <v>5.670994475138122</v>
      </c>
      <c r="L351" s="3">
        <f t="shared" si="22"/>
        <v>2.76308636562911</v>
      </c>
      <c r="M351" s="3">
        <f t="shared" si="23"/>
        <v>15.669447513812155</v>
      </c>
    </row>
    <row r="352" spans="1:13" x14ac:dyDescent="0.25">
      <c r="A352" s="2">
        <v>45595</v>
      </c>
      <c r="B352" t="s">
        <v>9</v>
      </c>
      <c r="C352" t="s">
        <v>14</v>
      </c>
      <c r="D352" t="s">
        <v>13</v>
      </c>
      <c r="E352">
        <v>6336</v>
      </c>
      <c r="F352">
        <v>234</v>
      </c>
      <c r="G352">
        <v>146.16</v>
      </c>
      <c r="H352">
        <v>10</v>
      </c>
      <c r="I352">
        <v>184.91</v>
      </c>
      <c r="J352" s="3">
        <f t="shared" si="20"/>
        <v>4.2735042735042734</v>
      </c>
      <c r="K352" s="3">
        <f t="shared" si="21"/>
        <v>14.616</v>
      </c>
      <c r="L352" s="3">
        <f t="shared" si="22"/>
        <v>1.2651204159824849</v>
      </c>
      <c r="M352" s="3">
        <f t="shared" si="23"/>
        <v>18.491</v>
      </c>
    </row>
    <row r="353" spans="1:13" x14ac:dyDescent="0.25">
      <c r="A353" s="2">
        <v>45595</v>
      </c>
      <c r="B353" t="s">
        <v>15</v>
      </c>
      <c r="C353" t="s">
        <v>10</v>
      </c>
      <c r="D353" t="s">
        <v>17</v>
      </c>
      <c r="E353">
        <v>15874</v>
      </c>
      <c r="F353">
        <v>409</v>
      </c>
      <c r="G353">
        <v>1401.66</v>
      </c>
      <c r="H353">
        <v>43</v>
      </c>
      <c r="I353">
        <v>2475.0700000000002</v>
      </c>
      <c r="J353" s="3">
        <f t="shared" si="20"/>
        <v>10.513447432762836</v>
      </c>
      <c r="K353" s="3">
        <f t="shared" si="21"/>
        <v>32.596744186046514</v>
      </c>
      <c r="L353" s="3">
        <f t="shared" si="22"/>
        <v>1.7658133926915229</v>
      </c>
      <c r="M353" s="3">
        <f t="shared" si="23"/>
        <v>57.559767441860465</v>
      </c>
    </row>
    <row r="354" spans="1:13" x14ac:dyDescent="0.25">
      <c r="A354" s="2">
        <v>45595</v>
      </c>
      <c r="B354" t="s">
        <v>15</v>
      </c>
      <c r="C354" t="s">
        <v>12</v>
      </c>
      <c r="D354" t="s">
        <v>16</v>
      </c>
      <c r="E354">
        <v>69501</v>
      </c>
      <c r="F354">
        <v>1516</v>
      </c>
      <c r="G354">
        <v>4260.8599999999997</v>
      </c>
      <c r="H354">
        <v>108</v>
      </c>
      <c r="I354">
        <v>17984.060000000001</v>
      </c>
      <c r="J354" s="3">
        <f t="shared" si="20"/>
        <v>7.1240105540897103</v>
      </c>
      <c r="K354" s="3">
        <f t="shared" si="21"/>
        <v>39.452407407407406</v>
      </c>
      <c r="L354" s="3">
        <f t="shared" si="22"/>
        <v>4.2207582506817882</v>
      </c>
      <c r="M354" s="3">
        <f t="shared" si="23"/>
        <v>166.5190740740741</v>
      </c>
    </row>
    <row r="355" spans="1:13" x14ac:dyDescent="0.25">
      <c r="A355" s="2">
        <v>45595</v>
      </c>
      <c r="B355" t="s">
        <v>15</v>
      </c>
      <c r="C355" t="s">
        <v>14</v>
      </c>
      <c r="D355" t="s">
        <v>18</v>
      </c>
      <c r="E355">
        <v>5056</v>
      </c>
      <c r="F355">
        <v>153</v>
      </c>
      <c r="G355">
        <v>210.65</v>
      </c>
      <c r="H355">
        <v>8</v>
      </c>
      <c r="I355">
        <v>1045.43</v>
      </c>
      <c r="J355" s="3">
        <f t="shared" si="20"/>
        <v>5.2287581699346406</v>
      </c>
      <c r="K355" s="3">
        <f t="shared" si="21"/>
        <v>26.331250000000001</v>
      </c>
      <c r="L355" s="3">
        <f t="shared" si="22"/>
        <v>4.9628768098741993</v>
      </c>
      <c r="M355" s="3">
        <f t="shared" si="23"/>
        <v>130.67875000000001</v>
      </c>
    </row>
    <row r="356" spans="1:13" x14ac:dyDescent="0.25">
      <c r="A356" s="2">
        <v>45595</v>
      </c>
      <c r="B356" t="s">
        <v>19</v>
      </c>
      <c r="C356" t="s">
        <v>10</v>
      </c>
      <c r="D356" t="s">
        <v>20</v>
      </c>
      <c r="E356">
        <v>19829</v>
      </c>
      <c r="F356">
        <v>382</v>
      </c>
      <c r="G356">
        <v>1084.48</v>
      </c>
      <c r="H356">
        <v>51</v>
      </c>
      <c r="I356">
        <v>4431.6499999999996</v>
      </c>
      <c r="J356" s="3">
        <f t="shared" si="20"/>
        <v>13.350785340314136</v>
      </c>
      <c r="K356" s="3">
        <f t="shared" si="21"/>
        <v>21.264313725490197</v>
      </c>
      <c r="L356" s="3">
        <f t="shared" si="22"/>
        <v>4.0864285187370903</v>
      </c>
      <c r="M356" s="3">
        <f t="shared" si="23"/>
        <v>86.895098039215682</v>
      </c>
    </row>
    <row r="357" spans="1:13" x14ac:dyDescent="0.25">
      <c r="A357" s="2">
        <v>45595</v>
      </c>
      <c r="B357" t="s">
        <v>19</v>
      </c>
      <c r="C357" t="s">
        <v>12</v>
      </c>
      <c r="D357" t="s">
        <v>21</v>
      </c>
      <c r="E357">
        <v>61560</v>
      </c>
      <c r="F357">
        <v>1776</v>
      </c>
      <c r="G357">
        <v>2508.6799999999998</v>
      </c>
      <c r="H357">
        <v>161</v>
      </c>
      <c r="I357">
        <v>3545.36</v>
      </c>
      <c r="J357" s="3">
        <f t="shared" si="20"/>
        <v>9.0653153153153152</v>
      </c>
      <c r="K357" s="3">
        <f t="shared" si="21"/>
        <v>15.581863354037266</v>
      </c>
      <c r="L357" s="3">
        <f t="shared" si="22"/>
        <v>1.4132372403016726</v>
      </c>
      <c r="M357" s="3">
        <f t="shared" si="23"/>
        <v>22.020869565217392</v>
      </c>
    </row>
    <row r="358" spans="1:13" x14ac:dyDescent="0.25">
      <c r="A358" s="2">
        <v>45595</v>
      </c>
      <c r="B358" t="s">
        <v>19</v>
      </c>
      <c r="C358" t="s">
        <v>14</v>
      </c>
      <c r="D358" t="s">
        <v>21</v>
      </c>
      <c r="E358">
        <v>7757</v>
      </c>
      <c r="F358">
        <v>93</v>
      </c>
      <c r="G358">
        <v>78.94</v>
      </c>
      <c r="H358">
        <v>14</v>
      </c>
      <c r="I358">
        <v>288.18</v>
      </c>
      <c r="J358" s="3">
        <f t="shared" si="20"/>
        <v>15.053763440860216</v>
      </c>
      <c r="K358" s="3">
        <f t="shared" si="21"/>
        <v>5.6385714285714288</v>
      </c>
      <c r="L358" s="3">
        <f t="shared" si="22"/>
        <v>3.6506207246009628</v>
      </c>
      <c r="M358" s="3">
        <f t="shared" si="23"/>
        <v>20.584285714285716</v>
      </c>
    </row>
    <row r="359" spans="1:13" x14ac:dyDescent="0.25">
      <c r="A359" s="2">
        <v>45595</v>
      </c>
      <c r="B359" t="s">
        <v>23</v>
      </c>
      <c r="C359" t="s">
        <v>10</v>
      </c>
      <c r="D359" t="s">
        <v>24</v>
      </c>
      <c r="E359">
        <v>28541</v>
      </c>
      <c r="F359">
        <v>397</v>
      </c>
      <c r="G359">
        <v>1373.75</v>
      </c>
      <c r="H359">
        <v>12</v>
      </c>
      <c r="I359">
        <v>2847.94</v>
      </c>
      <c r="J359" s="3">
        <f t="shared" si="20"/>
        <v>3.0226700251889169</v>
      </c>
      <c r="K359" s="3">
        <f t="shared" si="21"/>
        <v>114.47916666666667</v>
      </c>
      <c r="L359" s="3">
        <f t="shared" si="22"/>
        <v>2.0731137397634214</v>
      </c>
      <c r="M359" s="3">
        <f t="shared" si="23"/>
        <v>237.32833333333335</v>
      </c>
    </row>
    <row r="360" spans="1:13" x14ac:dyDescent="0.25">
      <c r="A360" s="2">
        <v>45595</v>
      </c>
      <c r="B360" t="s">
        <v>23</v>
      </c>
      <c r="C360" t="s">
        <v>12</v>
      </c>
      <c r="D360" t="s">
        <v>29</v>
      </c>
      <c r="E360">
        <v>52766</v>
      </c>
      <c r="F360">
        <v>1095</v>
      </c>
      <c r="G360">
        <v>4696.6400000000003</v>
      </c>
      <c r="H360">
        <v>215</v>
      </c>
      <c r="I360">
        <v>22155.09</v>
      </c>
      <c r="J360" s="3">
        <f t="shared" si="20"/>
        <v>19.634703196347029</v>
      </c>
      <c r="K360" s="3">
        <f t="shared" si="21"/>
        <v>21.844837209302327</v>
      </c>
      <c r="L360" s="3">
        <f t="shared" si="22"/>
        <v>4.7172212475301487</v>
      </c>
      <c r="M360" s="3">
        <f t="shared" si="23"/>
        <v>103.04693023255814</v>
      </c>
    </row>
    <row r="361" spans="1:13" x14ac:dyDescent="0.25">
      <c r="A361" s="2">
        <v>45595</v>
      </c>
      <c r="B361" t="s">
        <v>23</v>
      </c>
      <c r="C361" t="s">
        <v>14</v>
      </c>
      <c r="D361" t="s">
        <v>28</v>
      </c>
      <c r="E361">
        <v>3469</v>
      </c>
      <c r="F361">
        <v>130</v>
      </c>
      <c r="G361">
        <v>55.48</v>
      </c>
      <c r="H361">
        <v>7</v>
      </c>
      <c r="I361">
        <v>190.34</v>
      </c>
      <c r="J361" s="3">
        <f t="shared" si="20"/>
        <v>5.384615384615385</v>
      </c>
      <c r="K361" s="3">
        <f t="shared" si="21"/>
        <v>7.9257142857142853</v>
      </c>
      <c r="L361" s="3">
        <f t="shared" si="22"/>
        <v>3.4307858687815433</v>
      </c>
      <c r="M361" s="3">
        <f t="shared" si="23"/>
        <v>27.19142857142857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5FD84-C165-4564-B9C1-E0123825B0CD}">
  <dimension ref="B4:C40"/>
  <sheetViews>
    <sheetView topLeftCell="A4" workbookViewId="0">
      <selection activeCell="F9" sqref="F9"/>
    </sheetView>
  </sheetViews>
  <sheetFormatPr defaultRowHeight="15" x14ac:dyDescent="0.25"/>
  <cols>
    <col min="2" max="2" width="13.140625" bestFit="1" customWidth="1"/>
    <col min="3" max="3" width="18.7109375" bestFit="1" customWidth="1"/>
  </cols>
  <sheetData>
    <row r="4" spans="2:3" x14ac:dyDescent="0.25">
      <c r="B4" s="4" t="s">
        <v>34</v>
      </c>
      <c r="C4" t="s">
        <v>36</v>
      </c>
    </row>
    <row r="5" spans="2:3" x14ac:dyDescent="0.25">
      <c r="B5" s="5" t="s">
        <v>15</v>
      </c>
      <c r="C5" s="6">
        <v>5996</v>
      </c>
    </row>
    <row r="6" spans="2:3" x14ac:dyDescent="0.25">
      <c r="B6" s="5" t="s">
        <v>9</v>
      </c>
      <c r="C6" s="6">
        <v>5611</v>
      </c>
    </row>
    <row r="7" spans="2:3" x14ac:dyDescent="0.25">
      <c r="B7" s="5" t="s">
        <v>19</v>
      </c>
      <c r="C7" s="6">
        <v>5900</v>
      </c>
    </row>
    <row r="8" spans="2:3" x14ac:dyDescent="0.25">
      <c r="B8" s="5" t="s">
        <v>23</v>
      </c>
      <c r="C8" s="6">
        <v>5902</v>
      </c>
    </row>
    <row r="9" spans="2:3" x14ac:dyDescent="0.25">
      <c r="B9" s="5" t="s">
        <v>35</v>
      </c>
      <c r="C9" s="6">
        <v>23409</v>
      </c>
    </row>
    <row r="12" spans="2:3" x14ac:dyDescent="0.25">
      <c r="B12" s="4" t="s">
        <v>34</v>
      </c>
      <c r="C12" t="s">
        <v>37</v>
      </c>
    </row>
    <row r="13" spans="2:3" x14ac:dyDescent="0.25">
      <c r="B13" s="5" t="s">
        <v>15</v>
      </c>
      <c r="C13" s="3">
        <v>33.061978707242233</v>
      </c>
    </row>
    <row r="14" spans="2:3" x14ac:dyDescent="0.25">
      <c r="B14" s="5" t="s">
        <v>9</v>
      </c>
      <c r="C14" s="3">
        <v>26.466585151008509</v>
      </c>
    </row>
    <row r="15" spans="2:3" x14ac:dyDescent="0.25">
      <c r="B15" s="5" t="s">
        <v>19</v>
      </c>
      <c r="C15" s="3">
        <v>28.604385492016217</v>
      </c>
    </row>
    <row r="16" spans="2:3" x14ac:dyDescent="0.25">
      <c r="B16" s="5" t="s">
        <v>23</v>
      </c>
      <c r="C16" s="3">
        <v>32.219001054104218</v>
      </c>
    </row>
    <row r="17" spans="2:3" x14ac:dyDescent="0.25">
      <c r="B17" s="5" t="s">
        <v>35</v>
      </c>
      <c r="C17" s="3">
        <v>30.087987601092799</v>
      </c>
    </row>
    <row r="20" spans="2:3" x14ac:dyDescent="0.25">
      <c r="B20" s="4" t="s">
        <v>34</v>
      </c>
      <c r="C20" t="s">
        <v>38</v>
      </c>
    </row>
    <row r="21" spans="2:3" x14ac:dyDescent="0.25">
      <c r="B21" s="5" t="s">
        <v>15</v>
      </c>
      <c r="C21" s="3">
        <v>7.7334024212680319</v>
      </c>
    </row>
    <row r="22" spans="2:3" x14ac:dyDescent="0.25">
      <c r="B22" s="5" t="s">
        <v>9</v>
      </c>
      <c r="C22" s="3">
        <v>8.1723715013617415</v>
      </c>
    </row>
    <row r="23" spans="2:3" x14ac:dyDescent="0.25">
      <c r="B23" s="5" t="s">
        <v>19</v>
      </c>
      <c r="C23" s="3">
        <v>8.0474704988001466</v>
      </c>
    </row>
    <row r="24" spans="2:3" x14ac:dyDescent="0.25">
      <c r="B24" s="5" t="s">
        <v>23</v>
      </c>
      <c r="C24" s="3">
        <v>7.7212384530247506</v>
      </c>
    </row>
    <row r="25" spans="2:3" x14ac:dyDescent="0.25">
      <c r="B25" s="5" t="s">
        <v>35</v>
      </c>
      <c r="C25" s="3">
        <v>7.918620718613667</v>
      </c>
    </row>
    <row r="28" spans="2:3" x14ac:dyDescent="0.25">
      <c r="B28" s="4" t="s">
        <v>34</v>
      </c>
      <c r="C28" t="s">
        <v>39</v>
      </c>
    </row>
    <row r="29" spans="2:3" x14ac:dyDescent="0.25">
      <c r="B29" s="5" t="s">
        <v>15</v>
      </c>
      <c r="C29" s="3">
        <v>3.2308778985250126</v>
      </c>
    </row>
    <row r="30" spans="2:3" x14ac:dyDescent="0.25">
      <c r="B30" s="5" t="s">
        <v>9</v>
      </c>
      <c r="C30" s="3">
        <v>3.0815289322083421</v>
      </c>
    </row>
    <row r="31" spans="2:3" x14ac:dyDescent="0.25">
      <c r="B31" s="5" t="s">
        <v>19</v>
      </c>
      <c r="C31" s="3">
        <v>3.2308984709543873</v>
      </c>
    </row>
    <row r="32" spans="2:3" x14ac:dyDescent="0.25">
      <c r="B32" s="5" t="s">
        <v>23</v>
      </c>
      <c r="C32" s="3">
        <v>3.1940458612831213</v>
      </c>
    </row>
    <row r="33" spans="2:3" x14ac:dyDescent="0.25">
      <c r="B33" s="5" t="s">
        <v>35</v>
      </c>
      <c r="C33" s="3">
        <v>3.1843377907427195</v>
      </c>
    </row>
    <row r="36" spans="2:3" x14ac:dyDescent="0.25">
      <c r="B36" s="4" t="s">
        <v>34</v>
      </c>
      <c r="C36" t="s">
        <v>38</v>
      </c>
    </row>
    <row r="37" spans="2:3" x14ac:dyDescent="0.25">
      <c r="B37" s="5" t="s">
        <v>10</v>
      </c>
      <c r="C37" s="3">
        <v>6.2038391724113575</v>
      </c>
    </row>
    <row r="38" spans="2:3" x14ac:dyDescent="0.25">
      <c r="B38" s="5" t="s">
        <v>12</v>
      </c>
      <c r="C38" s="3">
        <v>8.1113365840350315</v>
      </c>
    </row>
    <row r="39" spans="2:3" x14ac:dyDescent="0.25">
      <c r="B39" s="5" t="s">
        <v>14</v>
      </c>
      <c r="C39" s="3">
        <v>9.4406863993946146</v>
      </c>
    </row>
    <row r="40" spans="2:3" x14ac:dyDescent="0.25">
      <c r="B40" s="5" t="s">
        <v>35</v>
      </c>
      <c r="C40" s="3">
        <v>7.9186207186136661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A08C-2D4B-4296-B29A-B2867DB978E6}">
  <dimension ref="A16:A19"/>
  <sheetViews>
    <sheetView showGridLines="0" tabSelected="1" zoomScale="110" zoomScaleNormal="110" workbookViewId="0">
      <selection activeCell="A19" sqref="A19"/>
    </sheetView>
  </sheetViews>
  <sheetFormatPr defaultRowHeight="15" x14ac:dyDescent="0.25"/>
  <cols>
    <col min="1" max="16384" width="9.140625" style="7"/>
  </cols>
  <sheetData>
    <row r="16" spans="1:1" x14ac:dyDescent="0.25">
      <c r="A16" s="8">
        <f>GETPIVOTDATA("CPA",'Pivot Table'!$B$12)</f>
        <v>30.087987601092799</v>
      </c>
    </row>
    <row r="17" spans="1:1" x14ac:dyDescent="0.25">
      <c r="A17" s="7">
        <f>GETPIVOTDATA("Conversions",'Pivot Table'!$B$4)</f>
        <v>23409</v>
      </c>
    </row>
    <row r="18" spans="1:1" x14ac:dyDescent="0.25">
      <c r="A18" s="8">
        <f>GETPIVOTDATA("CVR",'Pivot Table'!$B$20)</f>
        <v>7.918620718613667</v>
      </c>
    </row>
    <row r="19" spans="1:1" x14ac:dyDescent="0.25">
      <c r="A19" s="8">
        <f>GETPIVOTDATA("ROAS",'Pivot Table'!$B$28)</f>
        <v>3.1843377907427195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Engr Noman Mahmood</dc:creator>
  <cp:lastModifiedBy>Engr Noman Mahmood</cp:lastModifiedBy>
  <dcterms:created xsi:type="dcterms:W3CDTF">2025-11-30T08:49:21Z</dcterms:created>
  <dcterms:modified xsi:type="dcterms:W3CDTF">2025-12-01T06:51:26Z</dcterms:modified>
</cp:coreProperties>
</file>